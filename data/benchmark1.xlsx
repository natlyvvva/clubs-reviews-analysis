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nataliaakatyeva/Desktop/clubs/"/>
    </mc:Choice>
  </mc:AlternateContent>
  <xr:revisionPtr revIDLastSave="0" documentId="13_ncr:1_{798FE464-CC05-6A46-8129-92A368D65859}" xr6:coauthVersionLast="47" xr6:coauthVersionMax="47" xr10:uidLastSave="{00000000-0000-0000-0000-000000000000}"/>
  <bookViews>
    <workbookView xWindow="0" yWindow="760" windowWidth="27660" windowHeight="17160" tabRatio="500" activeTab="1" xr2:uid="{00000000-000D-0000-FFFF-FFFF00000000}"/>
  </bookViews>
  <sheets>
    <sheet name="разметка" sheetId="1" r:id="rId1"/>
    <sheet name="частоты" sheetId="2" r:id="rId2"/>
  </sheets>
  <definedNames>
    <definedName name="_xlnm._FilterDatabase" localSheetId="0" hidden="1">разметка!$A$2:$P$151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9" i="2" l="1" a="1"/>
  <c r="B19" i="2" s="1"/>
  <c r="E8" i="2"/>
  <c r="D8" i="2" a="1"/>
  <c r="D8" i="2" s="1"/>
  <c r="C8" i="2"/>
  <c r="B8" i="2"/>
  <c r="B4" i="2"/>
  <c r="D17" i="2"/>
  <c r="B17" i="2"/>
  <c r="D16" i="2"/>
  <c r="B16" i="2"/>
  <c r="D15" i="2"/>
  <c r="B15" i="2"/>
  <c r="C15" i="2" s="1"/>
  <c r="D14" i="2"/>
  <c r="B14" i="2"/>
  <c r="D13" i="2"/>
  <c r="B13" i="2"/>
  <c r="D12" i="2"/>
  <c r="B12" i="2"/>
  <c r="D11" i="2"/>
  <c r="B11" i="2"/>
  <c r="D10" i="2"/>
  <c r="B10" i="2"/>
  <c r="D9" i="2"/>
  <c r="B9" i="2"/>
  <c r="B3" i="2"/>
  <c r="C9" i="2" l="1"/>
  <c r="C11" i="2"/>
  <c r="C12" i="2"/>
  <c r="C14" i="2"/>
  <c r="B20" i="2"/>
  <c r="E9" i="2"/>
  <c r="E16" i="2"/>
  <c r="E17" i="2"/>
  <c r="E13" i="2"/>
  <c r="E14" i="2"/>
  <c r="E15" i="2"/>
  <c r="E10" i="2"/>
  <c r="E11" i="2"/>
  <c r="E12" i="2"/>
  <c r="C10" i="2"/>
  <c r="C13" i="2"/>
  <c r="C16" i="2"/>
  <c r="C1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<sst xmlns="http://schemas.openxmlformats.org/spreadsheetml/2006/main" count="632" uniqueCount="496">
  <si>
    <t>review_id</t>
  </si>
  <si>
    <t>club</t>
  </si>
  <si>
    <t>rating</t>
  </si>
  <si>
    <t>date_iso</t>
  </si>
  <si>
    <t>text</t>
  </si>
  <si>
    <t>музыка_звук</t>
  </si>
  <si>
    <t>персонал_сервис</t>
  </si>
  <si>
    <t>бар_еда</t>
  </si>
  <si>
    <t>помещение_комфорт</t>
  </si>
  <si>
    <t>цены_финвопросы</t>
  </si>
  <si>
    <t>безопасность_кражи</t>
  </si>
  <si>
    <t>прочее</t>
  </si>
  <si>
    <t>контингент</t>
  </si>
  <si>
    <t>Ci9DQUlRQUNvZENodHljRjlvT2xaS05scDJSbll4VEZNNFozUXRZVk5vWm1KM1QxRRAB</t>
  </si>
  <si>
    <t>Микс Afterparty</t>
  </si>
  <si>
    <t>2026-03-21T23:44:29Z</t>
  </si>
  <si>
    <t>роскошное заведение с мягкой и приятной музыкой. рекомендую к посещению! хостел заслуживают отдельного внимания!</t>
  </si>
  <si>
    <t>ChdDSUhNMG9nS0VJQ0FnSURwN19Qa3NRRRAB</t>
  </si>
  <si>
    <t>KULTURA</t>
  </si>
  <si>
    <t>2023-09-01T00:08:43Z</t>
  </si>
  <si>
    <t>Максимально неприветливый персонал, охрана на каждую проблему агрессивно реагирует, берут за руки, правила сами выстанавливают, моему другу предложили депозит 5к без объяснения, хотя мы были компанией. В итоге выгнали за то, что стакан не там поставил, другого за опьянение в КЛУБЕ, другого за национальность!!!!</t>
  </si>
  <si>
    <t>ChdDSUhNMG9nS0VJQ0FnSUNYNVliMHlRRRAB</t>
  </si>
  <si>
    <t>Live Stars</t>
  </si>
  <si>
    <t>2024-10-18T20:04:58Z</t>
  </si>
  <si>
    <t>Я люблю это заведение , тут самая ламповая атмосфера.  Отличные мероприятия. Самый лучший бар) на самый притязательный вкус😊</t>
  </si>
  <si>
    <t>Ci9DQUlRQUNvZENodHljRjlvT2xWd1N6WkZXRlJIV1U5T056SjJSa1pVTVdkbFQwRRAB</t>
  </si>
  <si>
    <t>Молодёжь</t>
  </si>
  <si>
    <t>2026-06-02T20:57:57Z</t>
  </si>
  <si>
    <t>Хорошее место, рекомендую, хорошие сотрудники)</t>
  </si>
  <si>
    <t>ChdDSUhNMG9nS0VJQ0FnSUR2NEszdW93RRAB</t>
  </si>
  <si>
    <t>2024-12-16T17:18:53Z</t>
  </si>
  <si>
    <t>Доброго вечера.!Зашла в клуб с подругами ,и это просто улет.Напитки недорогие ,вкусная еда .Официанты такие милые,один даже сделал комплимент что круто выгляжу.Персонал супер дружелюбный ,обязательно ещё раз приду .</t>
  </si>
  <si>
    <t>ChdDSUhNMG9nS0VJQ0FnSUROMTdQWTNnRRAB</t>
  </si>
  <si>
    <t>МТ music bar</t>
  </si>
  <si>
    <t>2024-01-27T01:57:17Z</t>
  </si>
  <si>
    <t>Ahlaksiz guvenlik gorevlisi içeri girmek için 5000 rusvet istedi</t>
  </si>
  <si>
    <t>Ci9DQUlRQUNvZENodHljRjlvT21Wb1JuazFOWEpyUzFWSGVEZGZWMGhwTUVsUVoyYxAB</t>
  </si>
  <si>
    <t>LASKI ВИНО И ПЛЯСКИ</t>
  </si>
  <si>
    <t>2025-06-15T18:39:49Z</t>
  </si>
  <si>
    <t>Все классно) достаточно легко пройти, доброжелательная атмосфера, без пафоса как в соседних местах, можно вкусно поесть внутри, потанцевать, музыка движовая, а также есть комната где можно подышать)
Кому не понравилось - вы просто рано пришли!))</t>
  </si>
  <si>
    <t>ChZDSUhNMG9nS0VJQ0FnSUNudmVINVp3EAE</t>
  </si>
  <si>
    <t>GIPSY</t>
  </si>
  <si>
    <t>2024-09-29T00:41:48Z</t>
  </si>
  <si>
    <t>В данный момент нахожусь в данном заведении. Это один из лучших клубов где я был. Ребят, спасибо Вам большое, за такую прекрасную ночь, Вы лучшие. Всем рекомендую посетить данное заведение❤️</t>
  </si>
  <si>
    <t>ChdDSUhNMG9nS0VJQ0FnSURtLUk2UWlRRRAB</t>
  </si>
  <si>
    <t>Мутабор</t>
  </si>
  <si>
    <t>2022-01-18T15:07:47Z</t>
  </si>
  <si>
    <t>Необычная локация, просторно</t>
  </si>
  <si>
    <t>Ci9DQUlRQUNvZENodHljRjlvT2xWaU5IWTJYM05GZHpoWlMwMXpXSFJzU0ZCRldrRRAB</t>
  </si>
  <si>
    <t>2026-08-01T01:28:39Z</t>
  </si>
  <si>
    <t>Отличное заведение. Обязательно внрнемся. Персонал и охрана очень приветлиые</t>
  </si>
  <si>
    <t>ChZDSUhNMG9nS0VJQ0FnSURtdF8tQkRnEAE</t>
  </si>
  <si>
    <t>RNDM</t>
  </si>
  <si>
    <t>2022-02-12T13:09:09Z</t>
  </si>
  <si>
    <t>Короче рандом, я у вас кучу раз был и в благородство играть не буду. Выполнишь пару условий - и мы в расчете. Хрен его знает на кой ляд вам эти дабстепы, джанглы, драмэндбейсы сдались, учитывая что вакантное место «русского трезора» сейчас свободно, дайте нам больше тееехна, ну поставьте там клеточку перед диджейкой, расставьте пару чб телевизоров, на определенных тусах можно камеры заклеивать, а то декорации на тусовках отличаются в основном только работой со светом, но я в чужие дела не лезу, это скорее вопрос к промо</t>
  </si>
  <si>
    <t>ChdDSUhNMG9nS0VJQ0FnSUN4eFlTSjdnRRAB</t>
  </si>
  <si>
    <t>Пропаганда</t>
  </si>
  <si>
    <t>2023-05-21T22:25:05Z</t>
  </si>
  <si>
    <t>Охранник на входе не пропустил, причём абсолютно без причины. Был прилично одет и вежлив, русский язык для меня родной.
Очень жаль, так как немного клубов с хорошей электронной музыкой в Мск.
Очевидно сюда не вернусь, но рекомендую администрации обратить внимание на работу вышибал. Расизм и произвол в 21 веке, иначе не назвать.</t>
  </si>
  <si>
    <t>ChZDSUhNMG9nS0VJQ0FnTUNnMmVyNEZREAE</t>
  </si>
  <si>
    <t>2025-02-18T22:51:15Z</t>
  </si>
  <si>
    <t>Отстой. Хотели в 2 часа ночи зайти на огонек во вторник, а Вы закрыты. Потеряли 5 потенциальных гостей. Сервис - не Ваш конек. Ставлю 1 звезду, так как ничего и не попробовали, а хотели хорошенько потратиться. Ушли злые и неудовлетверенные</t>
  </si>
  <si>
    <t>ChZDSUhNMG9nS0VJQ0FnSURtaDZMTVNnEAE</t>
  </si>
  <si>
    <t>Бар 1929</t>
  </si>
  <si>
    <t>2022-02-10T22:06:15Z</t>
  </si>
  <si>
    <t>Не пустили. Бред. Место хлам.</t>
  </si>
  <si>
    <t>Ci9DQUlRQUNvZENodHljRjlvT2t0RVdWZEROWHAzV1hWR2RYWktVVzlFYjBZMVRXYxAB</t>
  </si>
  <si>
    <t>2025-07-11T23:58:41Z</t>
  </si>
  <si>
    <t>Перед поездкой в gipsy, звонил им и узнавал стоимость депозита. Сказали 3к с лица. Приехали и охрана оценивающе с ног до головы выдали 25к с человека.</t>
  </si>
  <si>
    <t>ChdDSUhNMG9nS0VJQ0FnSURtdTZiVjZRRRAB</t>
  </si>
  <si>
    <t>Бар "Club Liberty"</t>
  </si>
  <si>
    <t>2022-02-10T13:56:14Z</t>
  </si>
  <si>
    <t>Nice</t>
  </si>
  <si>
    <t>ChZDSUhNMG9nS0VJQ0FnSURabWRxbUZREAE</t>
  </si>
  <si>
    <t>2023-10-04T05:45:56Z</t>
  </si>
  <si>
    <t>Пропаганда культовое место! В начале нулевых в пропаганде собиралась самая продвинутая молодежь и не молодежь. "Пропа" была обязательным местом для посещения англоговорящих гостей столицы. Сходить на ланч, а ночью радовать слух профессиональной работой диджея, электронными звуками техно. Через 23 года посетив клуб мы приятно удивились, что "пропа" держит хорошее качество.
Работа диджеев отличная, получили огромное удовольствие от музыки.
Бармены отличные ребята, оставляйте им бумажные чаевые и у вас обязательно будет самый вкусный коктейль в клубе, проверенный способ и везде это работает.
Чистота в туалетах - тут посетителям надо понаблюдать за собой, будьте аккуратны при посещении и  будет чисто, это проверенный способ, это работает ;).
Публика - приятно удивила, позитивная, общительная. Пьяных/в астрале нет, даже под закрытие. Все очень прилично.
Охрана на входе вежливая. При нас пускали всех.
Нам есть с чем сравнивать, потому что таких атмосферных клубов, с электронной музыкой осталось не много.
Рекомендую к посещению всем любителям электронной музыки. Конечно, любителям попс, будет непонятен формат. Для вас есть специальные, многочисленные клубы, с хорошо знакомыми вам хитами, которые звучат везде.
Пропаганда для тех, кто любит музыку без слов 💯 😁.
Работай "Пропа"!!!</t>
  </si>
  <si>
    <t>ChdDSUhNMG9nS0VJQ0FnSURub2FHdzdRRRAB</t>
  </si>
  <si>
    <t>Rodina Moskva</t>
  </si>
  <si>
    <t>2024-10-06T17:14:57Z</t>
  </si>
  <si>
    <t>Отличное место !</t>
  </si>
  <si>
    <t>ChdDSUhNMG9nS0VJQ0FnSURtLTl2YjFBRRAB</t>
  </si>
  <si>
    <t>2022-02-10T19:53:46Z</t>
  </si>
  <si>
    <t>Лучше чем ожидала после многочисленных негативных отзывов.</t>
  </si>
  <si>
    <t>Ci9DQUlRQUNvZENodHljRjlvT2xnM1Z6QjVha3RhVHpkTFZEQkNWMUYxTWtZemQzYxAB</t>
  </si>
  <si>
    <t>PAPA MOSCOW</t>
  </si>
  <si>
    <t>2025-10-12T08:55:39Z</t>
  </si>
  <si>
    <t>Всё понравилось очень хорошо еда вкусная</t>
  </si>
  <si>
    <t>ChdDSUhNMG9nS0VNMjRwb1B3a1pYNHR3RRAB</t>
  </si>
  <si>
    <t>СМЕНА</t>
  </si>
  <si>
    <t>2025-06-16T07:29:27Z</t>
  </si>
  <si>
    <t>много хулиганов, опасное место</t>
  </si>
  <si>
    <t>Ci9DQUlRQUNvZENodHljRjlvT2pGdGFTMTVOMGRoVlRGMVJFZGhSbWRDTlhSNVpYYxAB</t>
  </si>
  <si>
    <t>2025-11-26T21:56:48Z</t>
  </si>
  <si>
    <t>Фантастика, просто фантастика</t>
  </si>
  <si>
    <t>ChZDSUhNMG9nS0VJQ0FnSURwNWNQMWFBEAE</t>
  </si>
  <si>
    <t>Lookin Rooms</t>
  </si>
  <si>
    <t>2023-08-25T22:27:48Z</t>
  </si>
  <si>
    <t>Хотели прийти с подругами потанцевать, но нас не впустили и причину не объяснили, при входе попросили раскрыть куртку, подруга была в майке и рубашке, сказали что она не может пройти и указали на выход. Очень обидно, хотели провести хорошо время, а в итоге получили испорченное настроение.</t>
  </si>
  <si>
    <t>ChZDSUhNMG9nS0VJQ0FnSURtb2J6d05nEAE</t>
  </si>
  <si>
    <t>2022-01-30T20:24:43Z</t>
  </si>
  <si>
    <t>супер локация, был здесь на Недоступности. Все находится в здании завода, повсюду части механизмов что придаёт антуража. Звук супер, свет тоже. На мероприятии где я был было 3 сцены и можно было ходить между ними. Туалетов не очень много и из-за того что нет писуаров большие очереди туда. В барах можно покупать только по специальной карте которую лучше пополнять наличными, иначе можно вернуть неизрасходованные средства только с чеком. Но меня все равно обсчитали на 50р, небольшая сумма, но все равно неприятно.
По итогу мы все равно получаем одну из лучших, если не самую лучшую концертную площадку Москвы с очень крутыми завозами</t>
  </si>
  <si>
    <t>ChZDSUhNMG9nS0VJQ0FnSUNXZ0x1SGJREAE</t>
  </si>
  <si>
    <t>2022-02-14T16:04:48Z</t>
  </si>
  <si>
    <t>Хорошее место вкусная кухня вежливый персонал. Рекомендую</t>
  </si>
  <si>
    <t>ChdDSUhNMG9nS0VJQ0FnSURmc3RTN3hnRRAB</t>
  </si>
  <si>
    <t>16 Тонн</t>
  </si>
  <si>
    <t>2025-01-05T08:04:50Z</t>
  </si>
  <si>
    <t>Отличное заведение🤩🤩🤩 с живой музыкой  и возможностью   потанцевать))).
Давно ходим в данное заведение и очень довольны!   Уютное место.    Всегда приветливый персонал,  достойное обслуживание,приемлемые  цены.</t>
  </si>
  <si>
    <t>Ci9DQUlRQUNvZENodHljRjlvT2t4R2FWRnBRMXBRTWxCTE5GaFNSWEY1VkdsTlQyYxAB</t>
  </si>
  <si>
    <t>Клуб "Клуб"</t>
  </si>
  <si>
    <t>2025-07-30T19:08:29Z</t>
  </si>
  <si>
    <t>Прекрасное место, вкусные коктейли, гей бар напротив и притон в туалете. Огонь! Еще вернемся ❤️</t>
  </si>
  <si>
    <t>ChZDSUhNMG9nS0VJeTY3c3I3eEtLM1V3EAE</t>
  </si>
  <si>
    <t>2025-05-09T11:14:17Z</t>
  </si>
  <si>
    <t>Были впервые в этом клубе, впечатления остались весьма хорошие. Во-первых приличный контингент, музыку разную включают динамичную и спокойную. Коктейли на баре вообще пушка, хотелось все попробовать, но уже не тот возраст)))) Обслуживание на высшем уровне, начиная от ресепшина и заканчивая официантами. Отмечали день рождение и плюс получили хорошую скидку. Мне понравилось, приеду еще.</t>
  </si>
  <si>
    <t>ChdDSUhNMG9nS0VJQ0FnSURqcHU3MS1BRRAB</t>
  </si>
  <si>
    <t>2024-05-02T15:27:01Z</t>
  </si>
  <si>
    <t>Отзыв только для ресторана. Еда так себе, суп принесли вообще холодный, булочки дубовые, куриный шницель был вкусный, а пюре к нему еле теплое.</t>
  </si>
  <si>
    <t>ChdDSUhNMG9nS0VJQ0FnSUNGNmFMTXN3RRAB</t>
  </si>
  <si>
    <t>Izi Moscow</t>
  </si>
  <si>
    <t>2023-10-29T01:56:49Z</t>
  </si>
  <si>
    <t>Были на Хэллоуин, из положительного только музыка, в остальном - ужас. Помещение было переполнено людьми на максимум и ещё больше, толкучка ужасная, до раздевалки 3 метра стояли 50 минут в ужасной скотобойне будто. В общем, как минимум, на крупные мероприятия никому не советую</t>
  </si>
  <si>
    <t>Ci9DQUlRQUNvZENodHljRjlvT21OelNWZFRVMnRUZFhaUE1VRjRhVmx4ZHpJME5XYxAB</t>
  </si>
  <si>
    <t>2026-02-01T01:21:19Z</t>
  </si>
  <si>
    <t>Охранники слишком наглые, не позволяют посетителям даже подождать такси внутри при температуре -30</t>
  </si>
  <si>
    <t>ChdDSUhNMG9nS0VJQ0FnSUNGaHVUeWtnRRAB</t>
  </si>
  <si>
    <t>2023-10-27T23:37:13Z</t>
  </si>
  <si>
    <t>Пришли отметить день рождения на рок караоке. Выкупили целый стол. Заранее забронировали стол и позвонили и уведомили об этом. В день события было забронировано всего 3 стола. Нас уведомили что песню мы спеть не сможем. Стол был грязный, а под столом липко. Для вида протерто тряпкой, но это ситуацию не исправил. Если хотите испортить праздник, то вам сюда. Все очень плохо.</t>
  </si>
  <si>
    <t>ChdDSUhNMG9nS0VJQ0FnSUNtNzZTQnRnRRAB</t>
  </si>
  <si>
    <t>2022-01-13T20:10:30Z</t>
  </si>
  <si>
    <t>Крутое атмосферное место, чтобы получить максимальное удовольствие рекомендую заранее узнать формат пати на которое собираетесь.
Звук очень понравился. Находится максимально приятно.</t>
  </si>
  <si>
    <t>Ci9DQUlRQUNvZENodHljRjlvT2pGd01rRlBOWFJJTldvNFdqWkZNVWxaVVRWcWNsRRAB</t>
  </si>
  <si>
    <t>Happy End Bar&amp;Kitchen</t>
  </si>
  <si>
    <t>2026-03-28T16:43:59Z</t>
  </si>
  <si>
    <t>Что за гнилое место. Пришли специально за бургерами в коллабе с Jnkl после 5 вечера сегодня. Стучались в дверь, звонили в звонок. В итоге изнутри открыли дверь и ушли не встретив не поздоровавшись. Опять же 20 минут заведение уже работало.
Мы спустились вниз, спросили про еду, при этом никто не поздоровался все еще, на что нам просто ответили «сегодня кухня не работает». И все. Все что нужно знать о клиентской ориентированности этого заведения.</t>
  </si>
  <si>
    <t>ChdDSUhNMG9nS0VJQ0FnSURaNklPNzJBRRAB</t>
  </si>
  <si>
    <t>2023-09-23T16:02:09Z</t>
  </si>
  <si>
    <t>Не пустили без объяснения причины, хотя билет на мероприятие был куплен. Охранник в балаклаве предложил зайти за снюс</t>
  </si>
  <si>
    <t>ChZDSUhNMG9nS0VJQ0FnTUNZLWNDcEhnEAE</t>
  </si>
  <si>
    <t>2025-05-05T15:03:37Z</t>
  </si>
  <si>
    <t>Клёвый уютный клуб! Еда супер, персонал классный. Место тоже отличное.</t>
  </si>
  <si>
    <t>ChZDSUhNMG9nS0VJQ0FnSUNtdmJmcWNREAE</t>
  </si>
  <si>
    <t>2022-01-06T23:49:27Z</t>
  </si>
  <si>
    <t>Very strange music. Expensive bar, diluted cocktails</t>
  </si>
  <si>
    <t>Ci9DQUlRQUNvZENodHljRjlvT25WQlFYRlpNMDQ1UzBWd1NVRXRZVFphV2pkM2JYYxAB</t>
  </si>
  <si>
    <t>2026-07-03T17:42:15Z</t>
  </si>
  <si>
    <t>Самое отвратительное заведение из всех посещаемых. Суши заветреные, хоть бы не отравиться вообще.
При небольшой загрузке залов - бесконечная мышиная возня и путаница.
Перепутали заказ, бургер несли 40 минут, в итоге про него просто забыли  вообще и не принесли. Времени и настроения ждать нового  уже не было.</t>
  </si>
  <si>
    <t>ChZDSUhNMG9nS0VJQ0FnSURaM1ltX0JnEAE</t>
  </si>
  <si>
    <t>Gazgolder Club &amp; Tea Room</t>
  </si>
  <si>
    <t>2023-10-06T22:58:19Z</t>
  </si>
  <si>
    <t>На фейс контроле стоит страшная женщина , у которой давно не было сами знаете чего . Испорченный вечер</t>
  </si>
  <si>
    <t>ChdDSUhNMG9nS0VJQ0FnSURQbkxHdXFBRRAB</t>
  </si>
  <si>
    <t>2024-11-30T01:04:03Z</t>
  </si>
  <si>
    <t>Фейс контроль не пускает без каких либо причин, не ходите сюда!!!!!</t>
  </si>
  <si>
    <t>Ci9DQUlRQUNvZENodHljRjlvT2xWUlRXcGhOSGszYlZsSmFGVnlRakYwWHpoSE4yYxAB</t>
  </si>
  <si>
    <t>2025-10-17T04:45:26Z</t>
  </si>
  <si>
    <t>Отличное место чтобы расслабиться вечером в выходные, танцпол большой</t>
  </si>
  <si>
    <t>Ci9DQUlRQUNvZENodHljRjlvT21sWmMzaEZNakEwUTBwc1QwaG9lbk5CV1RoamVGRRAB</t>
  </si>
  <si>
    <t>2025-07-24T08:02:17Z</t>
  </si>
  <si>
    <t>С удовольствием возвращаюсь в родной Happy End. Незаезженные плейлисты, вкусные коктейли, самая крутая картошка фри, всегда приятная публика.</t>
  </si>
  <si>
    <t>ChZDSUhNMG9nS0VJQ0FnSURtMzVpZEJBEAE</t>
  </si>
  <si>
    <t>Simach в Недальнем</t>
  </si>
  <si>
    <t>2022-02-13T20:02:45Z</t>
  </si>
  <si>
    <t>Fino e evoluído com requinte. O sushi e absolutamente fantástico.</t>
  </si>
  <si>
    <t>ChdDSUhNMG9nS0VJQ0FnTUNRMksteW5nRRAB</t>
  </si>
  <si>
    <t>2025-03-01T20:10:16Z</t>
  </si>
  <si>
    <t>Музыка вообще ни о чём. Какие-то биты и иностранные сопровождения. Пришли с компанией, двоих просто развернули и не хотели пускать ни чем не объясняя. Ребятам пришлось ехать назад на другой конец Москвы</t>
  </si>
  <si>
    <t>Ci9DQUlRQUNvZENodHljRjlvT2tGMGVsbHJhemhMVEhGM2JuTnhhek5CWlhoTU9YYxAB</t>
  </si>
  <si>
    <t>2026-01-18T21:04:26Z</t>
  </si>
  <si>
    <t>сегодня сидр был без пузырьков, ерш разбавлен. диджей играет музыку вообще не для нефоров. сейчас бы в кк тимати крутить. киркоров??? меладзе???? макс корж???? вы моряк и чайка??? какая ваша основная аудитория???? я сюда не за этим прихожу. поч так много нормисов???? не пускайте. тем более мужиков 40+</t>
  </si>
  <si>
    <t>ChZDSUhNMG9nS0VJQ0FnSURuN05uMFl3EAE</t>
  </si>
  <si>
    <t>2024-10-04T00:52:39Z</t>
  </si>
  <si>
    <t>Great memories from summer 2018 WC football!</t>
  </si>
  <si>
    <t>ChdDSUhNMG9nS0VJQ0FnSURuNlB5bXhBRRAB</t>
  </si>
  <si>
    <t>2024-10-02T18:02:12Z</t>
  </si>
  <si>
    <t>This place is closed as of August 2024.</t>
  </si>
  <si>
    <t>ChdDSUhNMG9nS0VJQ0FnSUMzMjVyUHZ3RRAB</t>
  </si>
  <si>
    <t>2024-11-09T13:50:39Z</t>
  </si>
  <si>
    <t>Отличное место с приятной атмосферой и музыкой . Регулярно сюда ходим .</t>
  </si>
  <si>
    <t>Ci9DQUlRQUNvZENodHljRjlvT25veU9EVmtkbUZmYm1Kd1FqUm9VR2QwY1Zac1ZHYxAB</t>
  </si>
  <si>
    <t>2026-03-29T02:52:18Z</t>
  </si>
  <si>
    <t>Был в клубе, атмосфера лучшая, рекомендую, еще раз советую всем приехать, афиопати лучшие</t>
  </si>
  <si>
    <t>ChZDSUhNMG9nS0VJQ0FnSURqMG8yQVNnEAE</t>
  </si>
  <si>
    <t>2024-05-01T09:32:45Z</t>
  </si>
  <si>
    <t>Отличное место . Попали первый раз . Хорошая музыка , кухня , персонал</t>
  </si>
  <si>
    <t>Ci9DQUlRQUNvZENodHljRjlvT25sSGFIVktRa1EzVWs1YWIySXRaemxEYjFOV1VFRRAB</t>
  </si>
  <si>
    <t>2026-07-17T22:23:24Z</t>
  </si>
  <si>
    <t>Изи кайф!!!</t>
  </si>
  <si>
    <t>Ci9DQUlRQUNvZENodHljRjlvT25Kb05VNDFSakJ4YjA5bWJucHdlV2wzYjNGeFpFRRAB</t>
  </si>
  <si>
    <t>2025-11-28T11:00:06Z</t>
  </si>
  <si>
    <t>Не так давно открыла для себя Rodina Moskva — и сразу: искра, буря, безумие✨
Место превзошло все ожидания.
Сервис, звук, свет, меню, персонал — высокий уровень в каждой детали, многократно превзошли все мои ожидания 💫
Были в пятницу и меня поразила
шоу-программа в клубе  — невероятно красиво, до мурашек 😍🔥
В выходные не всегда удаётся прийти, поэтому в основном бываю в будни — и честно, найти в Москве место, где в обычный БУДНИЙ  вечер ты на 100% уверен, что классно проведёшь время, — большая редкость.
Здесь особая атмосфера и действительно качественный звук, легко и комфортно петь, плюс очень тёплая поддержка от персонала 🫂
Это не просто очередное заведение —
это место со вкусом, настроением и своим характером . Спасибо, Rodina❤️‍🔥</t>
  </si>
  <si>
    <t>ChdDSUhNMG9nS0VJQ0FnSURwOGRLMjRRRRAB</t>
  </si>
  <si>
    <t>2023-08-24T04:53:59Z</t>
  </si>
  <si>
    <t>Атмосфера: Бар "Club Liberty" создает приятную и энергичную атмосферу. Он имеет стильный и современный интерьер с уютными столиками и пространством для танцев. Также, музыка, которая играет в баре, подходит для различных вкусов и создает отличную атмосферу для отдыха.
Качество напитков: Бар "Club Liberty" предлагает широкий выбор напитков, включая коктейли, вино и пиво. Я был очень доволен качеством и вкусом напитков, которые я заказывал. Бармены быстро и профессионально приготовляли напитки и предлагали интересные вариации.
Обслуживание: Обслуживание в баре "Club Liberty" было отличным. Сотрудники были вежливыми, дружелюбными и внимательными к потребностям клиентов. Они быстро принимали заказы и оперативно обслуживали нас. Все мои вопросы и запросы были решены с улыбкой и профессионализмом.
В целом, я очень доволен своим визитом в бар "Club Liberty". Это отличное место для проведения вечера в компании друзей или для танцев. Я рекомендую его всем, кто ищет хороший бар с отличной атмосферой и отличным обслуживанием.</t>
  </si>
  <si>
    <t>ChZDSUhNMG9nS0VJQ0FnSUN2MWFuc2Z3EAE</t>
  </si>
  <si>
    <t>2024-12-13T06:53:01Z</t>
  </si>
  <si>
    <t>Купили с другом билеты на концерт «ЛСП» 29 ноября 2024. По итогу на входе нас не пропустили без объяснения причин. Правил площадки мы не нарушали. Вечер испорчен… время, деньги, нервы, ожидания потрачены в пустую, человек работающий на досмотре сказал что деньги вернутся в течении 4-х дней.
Прошло уже 14… деньги обратно не поступили.
Позорники</t>
  </si>
  <si>
    <t>Ci9DQUlRQUNvZENodHljRjlvT2pSTFQyRmphMFJmYkZwbFVrcHFhRUptZDJWS0xYYxAB</t>
  </si>
  <si>
    <t>2025-10-22T05:55:31Z</t>
  </si>
  <si>
    <t>Были в этом баре с друзьями в субботу. Отличное место, чтобы провести вечер после рабочей недели. Особенно впечатлила атмосфера. Просторный танцпол позволил отдохнуть без толкучки.</t>
  </si>
  <si>
    <t>Ci9DQUlRQUNvZENodHljRjlvT20xM01HOU9WbEZMUVVONVNIcGhlbk5DVW1Ka1UwRRAB</t>
  </si>
  <si>
    <t>2026-03-21T00:49:23Z</t>
  </si>
  <si>
    <t>Каждые выходные посещаю данное заведение, музыка всегда новая , ребята на быре профессионалы своего дела. Всем рекомендую</t>
  </si>
  <si>
    <t>ChdDSUhNMG9nS0VJQ0FnTUNBcGZfUDNnRRAB</t>
  </si>
  <si>
    <t>2025-02-02T17:04:00Z</t>
  </si>
  <si>
    <t>Очень расстроены тем, что за наши деньги концерт 17.01 был под фонограмму.
Старые песни комбинации в любом караоке поют на 100 баллов, зачем выпускать на сцену двух стрёмного вида девиц, кто не умеет петь?
Мы купили билеты на концерт и были на концерте, который нам крайне разочаровал, зачем спрашивать вопросы по меню на еду??
Билеты на концерт готовы предоставить</t>
  </si>
  <si>
    <t>ChdDSUhNMG9nS0VJQ0FnSURibk1HeWxnRRAB</t>
  </si>
  <si>
    <t>2024-08-02T23:55:48Z</t>
  </si>
  <si>
    <t>It‘s not what it used to be, the dancers were nice but the service is really bad</t>
  </si>
  <si>
    <t>ChZDSUhNMG9nS0VJQ0FnSUNsZ0xibEtREAE</t>
  </si>
  <si>
    <t>2023-11-12T12:32:03Z</t>
  </si>
  <si>
    <t>Ужасное место . Были там с подругами и все остались с негативными эмоциями, очень жалко потраченную 1000 рублей . Музыка то есть , биты , были просто отвратительными , под них даже танцевать нельзя было , хотя большинство малолеток не находило в этом проблемы и дрыгались под эту непонятную дичь , видимо были настолько пьяные, что это пришлось им по душе . Хотелось попеть песенки и потанцевать , но как же мы ошиблись с выбором клуба, Напитки дорогие и невкусные , девушке стало не хорошо после 2 маленьких напитков , так как они были тошнотворными . Присесть было негде , приходилось просто стоять возле бара и надеяться , что наконец-то диджей решит поставить нормальную музыку , но не дождались . За 4 часа нашего пребывания мы услышали  в его лишь 4 трека, в остальное время- биты .Вообщем никому не советую данное заведение , если вы хотите хорошо и весело провести время , и получить хорошие эмоции , а не разочарование .</t>
  </si>
  <si>
    <t>ChdDSUhNMG9nS0VJQ0FnSURkM3ZMU2l3RRAB</t>
  </si>
  <si>
    <t>2024-02-24T01:58:36Z</t>
  </si>
  <si>
    <t>Все прекрасно, правда, по собственной глупости потерял прекрасный диалог, с прекрасной девушкой в белом пальто с которой мы разговорились о семье и о работе. Если ты это читаешь отзовись пожалуйста, мы не договорили.</t>
  </si>
  <si>
    <t>ChdDSUhNMG9nS0VJQ0FnSUM5aE0tanVRRRAB</t>
  </si>
  <si>
    <t>DeFAQto</t>
  </si>
  <si>
    <t>2024-03-02T03:31:27Z</t>
  </si>
  <si>
    <t>Охрана супер!  Очень бдительны!
Молодцы!</t>
  </si>
  <si>
    <t>ChRDSUhNMG9nS0VJQ0FnSUQxNlp3eRAB</t>
  </si>
  <si>
    <t>2024-01-08T08:32:28Z</t>
  </si>
  <si>
    <t>Контингент - ребята еле-еле достигшие двадцати лет. В туалетах происходит Бог знает что, охрана - взрослые мужчины без понимания элементарных норм приличия, грубят, толкаются и так далее.
Ценник в баре для такого заведения и такого ужасного качества алкоголя невероятно завышен. Три-четыре коктейля - и следующий день в состоянии "овоща" вам обеспечен.</t>
  </si>
  <si>
    <t>ChdDSUhNMG9nS0VJQ0FnSUNOOGVuWDZnRRAB</t>
  </si>
  <si>
    <t>2024-01-15T14:17:19Z</t>
  </si>
  <si>
    <t>Пришли в клуб. Сразу бросилась очередь которую пропускали неохотно. Абсолютно хамская охрана. Слов нет. Пришёл с женой и её сестрой. Контингент в основном студенты. Мне 38 жене 35 её сестре 36. Когда заходили жена случайно наступила на ногу охраннику. Он как только её не обозвал. Я конечно вступился. Были абсолютно трезвые. На что мне охранник сказал " Сейчас всех троих выведем и объясним кто вы есть на самом деле. Особенно мне. " Молодёжь дует воздушные шары с какой то дрянью. Как обдолбается их выкидывают на мороз и пофиг что с ними будет. Коктейли делают отвратно. Прям в графины наливают контрафактное пойло.
В общем напоминает колхозный сарай с огоньками. Но особенно охрана. Им надо колхозы охранять раз ведут себя как быдло.
Не советую никому.</t>
  </si>
  <si>
    <t>ChZDSUhNMG9nS0VJQ0FnSUM5ZzlDNUdREAE</t>
  </si>
  <si>
    <t>2024-03-08T22:26:02Z</t>
  </si>
  <si>
    <t>У барышни на ресепшене после охраны (которая принимает оплату за билеты) 8 марта явно был пмс, на ровном месте очень сильно нагрубила, у меня не ловила связь, я спросила, как можно еще перевести деньги за вход, на что была очень грубо послана. не рекомендую это место, очень разочарована, газ был моим домом, а стал нужником. Хотя раньше в газе была раз 30, впервые такое</t>
  </si>
  <si>
    <t>ChZDSUhNMG9nS0VJQ0FnSUR0c1BPS0ZBEAE</t>
  </si>
  <si>
    <t>2024-02-02T04:13:43Z</t>
  </si>
  <si>
    <t>странное заведение. надо быть слишком пьяным или укуренным, чтобы там как то было интересно. захотел попить воды, меня долго отсылали от одного к другому бармену. так и не дали. я взял и ушел. скучно стало. а напиваться я не захотел.</t>
  </si>
  <si>
    <t>ChZDSUhNMG9nS0VJQ0FnSUN6bHFfNUZ3EAE</t>
  </si>
  <si>
    <t>2024-06-01T21:49:11Z</t>
  </si>
  <si>
    <t>Фейс контроль развернул, даже не спросив документы. Работают хамы</t>
  </si>
  <si>
    <t>ChZDSUhNMG9nS0VJQ0FnSUNXb3A2ekdnEAE</t>
  </si>
  <si>
    <t>2022-02-21T22:38:12Z</t>
  </si>
  <si>
    <t>Классное заведение. Хожу на концерты. Вкусные коктейли.</t>
  </si>
  <si>
    <t>Ci9DQUlRQUNvZENodHljRjlvT25ac2FqaFBUa3hITjNORlYybHlhVzVLZW5WWlozYxAB</t>
  </si>
  <si>
    <t>2026-08-21T03:40:50Z</t>
  </si>
  <si>
    <t>КЛАСНАЯ атмосвеха ночного клуба в центре Москвы музыка и диджеи каждая пятница и суббота с новой концепцией просторное пространство и больной танцпол Дружелюбные бармены, хостес и охрана</t>
  </si>
  <si>
    <t>ChZDSUhNMG9nS0VJQ0FnSUR4aTdTZEhnEAE</t>
  </si>
  <si>
    <t>2023-06-14T20:17:35Z</t>
  </si>
  <si>
    <t>Еда ни о чем.Алкоголь тоже.Цены неоправданные.Клуб такое себе.За интерьер пару звезд.</t>
  </si>
  <si>
    <t>ChdDSUhNMG9nS0VJQ0FnSUNfdlp2VXBBRRAB</t>
  </si>
  <si>
    <t>2025-01-18T11:55:26Z</t>
  </si>
  <si>
    <t>Отличное заведение, качество еды хорошее!</t>
  </si>
  <si>
    <t>Ci9DQUlRQUNvZENodHljRjlvT2xkWWFEWjFhM056VnpOWGIzVnVPRkZTYTFoVmIwRRAB</t>
  </si>
  <si>
    <t>2026-08-14T22:19:48Z</t>
  </si>
  <si>
    <t>Если ищите место , чтобы классно провести вечер пятницы , то вам сюда! Вежливый персонал и потрясающие эмоции залог успеха вашего вечера !</t>
  </si>
  <si>
    <t>ChZDSUhNMG9nS0VJQ0FnSUREdklTMkhREAE</t>
  </si>
  <si>
    <t>2024-04-06T22:26:17Z</t>
  </si>
  <si>
    <t>Осин плохо !</t>
  </si>
  <si>
    <t>Ci9DQUlRQUNvZENodHljRjlvT2xrd1ptczVkelpDZUZacFpISjBjbkZMWkdabVIyYxAB</t>
  </si>
  <si>
    <t>2026-03-09T02:47:34Z</t>
  </si>
  <si>
    <t>👍❤️</t>
  </si>
  <si>
    <t>Ci9DQUlRQUNvZENodHljRjlvT21KUVQxcDJlbWt5T0c1aVZVZzJVMVJPTVhOQlRHYxAB</t>
  </si>
  <si>
    <t>2026-07-08T06:39:56Z</t>
  </si>
  <si>
    <t>Прекрасное место для отдыха, очень вкусная еда. Были сегодня с друзьями, отмечали др. Персонал - лучшие!!!!</t>
  </si>
  <si>
    <t>Ci9DQUlRQUNvZENodHljRjlvT21ZelFWRTRSa3RDUmtWU05XeDNielJVU2pKcVZGRRAB</t>
  </si>
  <si>
    <t>2025-12-07T07:34:47Z</t>
  </si>
  <si>
    <t>Очень понравилось советую всем посетить этот ресторан</t>
  </si>
  <si>
    <t>ChdDSUhNMG9nS0VJQ0FnSUNKMzV5UXBnRRAB</t>
  </si>
  <si>
    <t>2023-07-08T02:09:43Z</t>
  </si>
  <si>
    <t>Крутое место, музыка хорошая, НЕ ДУШНО, советую</t>
  </si>
  <si>
    <t>ChZDSUhNMG9nS0VJQ0FnSUNSMV9tRllBEAE</t>
  </si>
  <si>
    <t>2023-04-12T19:23:45Z</t>
  </si>
  <si>
    <t>Супер вкусные ланчи, вежливый позитивный персонал и приятные цены, хочется чтобы таких мест было побольше!</t>
  </si>
  <si>
    <t>ChZDSUhNMG9nS0VJQ0FnSUN6cXVlaGFBEAE</t>
  </si>
  <si>
    <t>2024-06-01T08:45:13Z</t>
  </si>
  <si>
    <t>Побывал первый раз, надеюсь, что последний. Со слов друзей, концепция бара мне понравилась; расписывать стены, столы, и вообще сидеть в неформальный обстановке. В момент моего посещения, все столы были как чистый холст, еще раз напомню, что концепция заведения предполагает рисование на столах, но после того, как мы оставили только свои подписи в углу стола, к нам подошел охранник, являвшийся своего рода вышибалой. Совершенно не умея тактично разговаривать с клиентами, он силой отпихнул стол, да так, что окружающие нас люди забыли о мирной и дружелюбной атмосфере, после чего, невербально показывая, ч сейчас нам причинят физический вред, нас грубо попросили покинуть данный клуб без объяснения причины. Мы не поняли причину того, как с нами обратились, поэтому мы ушли на летнюю веранду, после чего нас и оттуда сопроводили под руку. На выходе, эта банка протеина в очках дала наводку другим охранникам, чтобы нас не пускали вообще. После чего, мы ушли в другой бар по соседству, который хорошо относится к своим клиентам. Словом, если вы попадете на смену к бородатому громиле в очках, вы можете смело пройти мимо, потому что скорее всего, вас выгонят под страхом физической расправы, и по причинам, которые, почему-то, не объясняются. Эти хамы не стесняются заламывать руки девушкам, и пугать их своим вызывающим поведением и грозным видом. Эти шкафы на входе все портят. Когда раздавали мозги, они пинали столы в клубе, выгоняя добропорядочных посетителей. Совершенно порочат вид заведения, по крайней мере этот типок в очках.</t>
  </si>
  <si>
    <t>Ci9DQUlRQUNvZENodHljRjlvT25wVVpUTmphbTQxVjJjMFEwTklWVnBuVTFweVdGRRAB</t>
  </si>
  <si>
    <t>2025-07-18T23:24:29Z</t>
  </si>
  <si>
    <t>Была в этом заведении 18 июля. Ко мне не подошел ни один официант, я очень долго ждала, на меня просто не обращали внимания, затем я сама подошла и попросила барную карту. Когда выбрала, ко мне снова долгое время никто не подходил, причем я несколько раз встретилась взглядами с барменами, которые в это время общались с официантами. Я уже вслух спросона где мне сделать заказ, мне бармен ответил, что лучше на баре, хотя официанты были свободны! Я сделала заказ и мне его никто не принес! Когда уже я сама сходила за заказом и присела, бармен окликнул меня и попросил рассчитать сразу. Поведение обоих барменов и официантов, максимально странное, высокомерное и принебрежительное. Я в свою очередь была опрятная, трезвая и хорошо одетая, поэтому из поведение обидно вдвойне.</t>
  </si>
  <si>
    <t>ChZDSUhNMG9nS0VJQ0FnSUR4X3FiSEx3EAE</t>
  </si>
  <si>
    <t>2023-06-09T08:49:36Z</t>
  </si>
  <si>
    <t>Отличное заведение, приятрые цены, хороший персонал) ходим часто с компанией</t>
  </si>
  <si>
    <t>Ci9DQUlRQUNvZENodHljRjlvT2pob2EySnlkRGwzZUZkMFIxWnpSVWd3T1ZOQ1MyYxAB</t>
  </si>
  <si>
    <t>2025-10-16T09:16:24Z</t>
  </si>
  <si>
    <t>Посещение клуба оставило исключительно положительные впечатления! Атмосфера дружелюбная и уютная, музыка отличная, диджеи играют классные треки, а концепция мероприятий всегда новая и интересная. В клубе достаточно места для танцев. Сотрудники приветливы, бармены быстро выполняют заказы. Обязательно вернусь и рекомендую всем, кто хочет отлично провести время. Стоит попробовать коктейли, кальян и вкусную еду.</t>
  </si>
  <si>
    <t>Ci9DQUlRQUNvZENodHljRjlvT2pGd05XaE5Xa3BzWTFWSU1UVklkRzlDTmxSdlMwRRAB</t>
  </si>
  <si>
    <t>2025-12-06T00:25:31Z</t>
  </si>
  <si>
    <t>В целом все было бы хорошо, если бы официанты не требовали оставить 10% чаевых по каждому чеку и не предъявляли счет за случайно разбитый бокал в размере 2 тыс. Дружелюбность и клиентоориентированность оставляет желать лучшего.</t>
  </si>
  <si>
    <t>ChdDSUhNMG9nS0VJQ0FnSURwNTQ2TzFBRRAB</t>
  </si>
  <si>
    <t>2023-08-30T16:49:36Z</t>
  </si>
  <si>
    <t>Были в  баре 16 Тонн 26августа,  официант был не в адеквате, принял заказ очень нервно, дëргался постоянно, пиво нам не приносили 20 минут, мы начали переживать, официанта найти не могли, когда нашли, он сказал пиво слишком пенное, сейчас принесёт. Принёс пиво , и это было что --  то, выдохшееся , очень водянистое. Из закусок взяли сырные палочки, они были с привкусом плесени. Но самое интересное, что после выпитого пива и съеденных закусок у одной девушки было сильное покраснение лицевых покровов и удушье. Прошу отреагировать на жалобу и позвонить по факту рассмотрения. Время посещения бара 23:00. Мой телефон 89524445301 Алла Борисовна.</t>
  </si>
  <si>
    <t>ChdDSUhNMG9nS0VJQ0FnSURKNXVmVnRRRRAB</t>
  </si>
  <si>
    <t>2023-07-16T09:16:49Z</t>
  </si>
  <si>
    <t>Спасибо, моему дорогому Паше за приятный, атмосферный вечер в этом клубе! Я осталась очень довольна уютным интерьером клуба, концертом, вкусной едой, и доброжелательными официантами. Музыканты создали нам прекрасное настроение профессиональным, живым и душевным исполнением, молодцы ребята, спасибо! А повара приготовили для нас вкуснейшую пиццу и вкуснейшие роллы, спасибо большое!
Приятный отдых и хорошее настроение точно будут обеспечены в клубе, все будет супер! Рекомендую.</t>
  </si>
  <si>
    <t>Ci9DQUlRQUNvZENodHljRjlvT2tGSU4waHNXbmhVY1cxdU4yc3RWMDVPU0VrMlJFRRAB</t>
  </si>
  <si>
    <t>2025-08-29T11:50:45Z</t>
  </si>
  <si>
    <t>Доброжелательный и уютный клуб! Как только пришел в клуб, сразу появилась насыщенная атмосфера и уют с классной музыкой и диджеями, такое не увидишь в каждом клубе.Люблю приходить на выходные т.к. у них всегда новая концепция и ещё есть очень большое пространство с танцполом.В целом сотрудники приветливые и вежливые, бармены очень быстро делают свои заказы. Рекомендую впервые попробовать  Кальян, коктейли и можно ещё еду, она там самая лучшая!</t>
  </si>
  <si>
    <t>ChdDSUhNMG9nS0VJQ0FnSUNUMFpPLXV3RRAB</t>
  </si>
  <si>
    <t>2024-05-16T01:21:04Z</t>
  </si>
  <si>
    <t>Цены бешеные, охрана просто в наглую роеться в сумке, вытряхивая буквально всё, за такие деньги можно дома и развлечься веселее</t>
  </si>
  <si>
    <t>ChdDSUhNMG9nS0VJQ0FnSURUdlBQR2pBRRAB</t>
  </si>
  <si>
    <t>2024-05-23T10:17:11Z</t>
  </si>
  <si>
    <t>Клуб пушка чётко отдохнули с друзьями всем рекомендую 🔥</t>
  </si>
  <si>
    <t>ChdDSUhNMG9nS0VJQ0FnSURqal9INDR3RRAB</t>
  </si>
  <si>
    <t>2024-05-08T20:36:25Z</t>
  </si>
  <si>
    <t>Прощай, Пропаганда. Более 20 лет посещала это место. И на ланч, и на ужин, и на кофе с десертом. От былого качества остались одни воспоминания. Спешили вечером в кафе в конце рабочего и предпраздничного дня. Боялись, что все столики были заняты. Моё удивление - свободный зал, куча свободных столиков, а я уже готовилась стоять в очереди, как это было раньше по вечерам, а потом, когда место освоболится, хостес еще скажет, чтобы больше двух часов не засиживались. Всегда шум, гам, заинтересованные официанты, которые работали годами и знали всех постоянных  посетителей. Теперь тишина. Главное, принесли мне блюдо, которое я регулярно заказываю на протяжении двух десятилетий, и оно оказалось не съедобным. Феттучини с вялеными томатами: лапшу не разворили (не надо мне рассказывать про аль денте, всегда нормально разваривали); маслина одна бедолага, разрезанная на четыре части; томаты вяленые не встретила; капля жидкого маскпрпоне; соус почти отсутствовал. При этом порция уменьшилась вдвое, а цена выросла. Одно разочарование. Молчу про борщ, который из той кастрюли, которая варится на ланч. Этот суп сложно испортить, но и он был пустым. Мы всё съели, не просили переделать. Больше не появимся. Видимо, лучше оставить хорошие воспоминания о еде моей юности. В конце "ужина" стало понятно, почему нет очереди. Незачем стремиться. Раньше Пропаганда хорошо кормила и умудрялась держать цены, но все это в прошлом. В той же ценовой категории можно найти предложение лучшего качества.</t>
  </si>
  <si>
    <t>ChZDSUhNMG9nS0VJQ0FnSURwcmVyMFNnEAE</t>
  </si>
  <si>
    <t>2023-08-26T21:54:43Z</t>
  </si>
  <si>
    <t>Пришли с компанией друзей в клуб. Друг так сильно танцевал, что браслет порвался. Он подошёл к охране , чтобы сказать о проблеме и заменить браслет. Но женщина на входе, которые наклеивает браслеты, он сняла полупорвавшийся браслет и сказала ему, что у него больше нет браслета. И наш друг отказался платить за новый браслет. Так как он сопротивлялся этому охрана захотела его вывести. Но так как в клубе были друзья и его вещи, то он купил новый браслет. То есть друг разорился на новый браслет и тем самым выкинул в мусорку ещё 1650 руб. Хотя перед местом, где женщина клеит эти браслеты на входе есть камера. И это можно доказать. Извините, но 1650 руб. Никогда не бывают лишними!. Моё первое впечатление испортилось в последствии из за этой ситуации. Клуб тянет деньги любым способом, в том числе нечестным!!! Будьте осторожны</t>
  </si>
  <si>
    <t>ChdDSUhNMG9nS0VJQ0FnSURIc3ZtRjNBRRAB</t>
  </si>
  <si>
    <t>2024-09-14T10:42:23Z</t>
  </si>
  <si>
    <t>Отличное место, чтобы отдохнуть с друзьями. Хожу сюда пару раз в месяц, всегда всё на высоте. Классная музыка, манящая атмосфера и нельзя не отметить очень вкусные коктейли и закуски.</t>
  </si>
  <si>
    <t>Ci9DQUlRQUNvZENodHljRjlvT21GRGNYRmZaVGhWWjBGbGRFWkNObmxhUVc1RGQyYxAB</t>
  </si>
  <si>
    <t>2026-05-16T14:36:19Z</t>
  </si>
  <si>
    <t>Для многих это место культовое, я была здесь на концерте ЛСП, впечатления остались положительные. Аккустика хорошая, танцпол большой, коктейли вкусные. На фейс-контроле действительно кого-то разворачивали, но объясняли причину - в основном из-за спортивной одежды или отсутствия паспорта.</t>
  </si>
  <si>
    <t>Ci9DQUlRQUNvZENodHljRjlvT21Od1RFUnJVMFIzUTFKSWFtbG9hVmxhY1hoTGVGRRAB</t>
  </si>
  <si>
    <t>2025-09-01T11:50:12Z</t>
  </si>
  <si>
    <t>Очень хорошая музыка и атмосфера, качество еды на высшем уровне, всем советую пойти туда.</t>
  </si>
  <si>
    <t>ChZDSUhNMG9nS0VJQ0FnSUM5eTVMR0xBEAE</t>
  </si>
  <si>
    <t>2024-03-09T19:30:14Z</t>
  </si>
  <si>
    <t>Живой звук группы Крематорий
Только восторг</t>
  </si>
  <si>
    <t>ChZDSUhNMG9nS0VJQ0FnSUREaFlmRkZ3EAE</t>
  </si>
  <si>
    <t>2024-04-11T23:42:38Z</t>
  </si>
  <si>
    <t>Лучший книжный магазин Москвы внутри :)
Пляски, свободные люди, необычная музыка, пьяные интеллектуальные и не очень беседы</t>
  </si>
  <si>
    <t>Ci9DQUlRQUNvZENodHljRjlvT2toU1p6aEJWV3huWVVKM2RFWm1jRGRVVFdodU5XYxAB</t>
  </si>
  <si>
    <t>2025-08-10T00:21:47Z</t>
  </si>
  <si>
    <t>It's closed.
Está cerrado.</t>
  </si>
  <si>
    <t>Ci9DQUlRQUNvZENodHljRjlvT21kQ01qVmZUVTluWnpaNFdXRmhhblJWV0Y4MU4yYxAB</t>
  </si>
  <si>
    <t>2025-08-30T20:07:35Z</t>
  </si>
  <si>
    <t>Охранники грубят, разворачиваю людей 50/50, нас развернули, пропустили двоих парней странной внешности, потом снова пропустили, подходят две девушки (прилично одетые) тоже разворачивают. По какому принципу пускают не известно, тут как повезет.</t>
  </si>
  <si>
    <t>ChZDSUhNMG9nS0VJQ0FnSURQbk9qSk9nEAE</t>
  </si>
  <si>
    <t>2024-11-30T00:13:03Z</t>
  </si>
  <si>
    <t>Самый худший клуб в России в котором я был! Были прилично одеты, приехали с другого города, в полном адекватном состоянии и не в алкогольном опьянении, купили билеты за 2 недели до начала!!!! За пару дней до дня рождения не пустили, видите ли не пошли фейс контроль, хотя даже паспорт не смотрели!! Просто беспредел… максимально испорченные выходные и самое худшее впечатление из-за данного клуба и к тому же испорченый подарок на день рождение! Больше никогда сюда не вернемся!!
Персонаж из так называемого «фейс контроля» даже не смотрел, просто отказал! Был одет неопрятно в самых дешевых тряпках с рынка! Полнейший бред…
Надеюсь данное заведение закроют чтобы не было таких ситуаций и судя по отзывам мы не одни такие.</t>
  </si>
  <si>
    <t>ChdDSUhNMG9nS0VJQ0FnSUNMaTVMN2tRRRAB</t>
  </si>
  <si>
    <t>2024-06-23T02:50:16Z</t>
  </si>
  <si>
    <t>Хорошее место, чтобы отдохнуть и потанцевать. Хорошие коктейли!!!! ❤️❤️❤️</t>
  </si>
  <si>
    <t>ChZDSUhNMG9nS0VJQ0FnSUQxeHY3dlRBEAE</t>
  </si>
  <si>
    <t>2024-01-06T19:02:04Z</t>
  </si>
  <si>
    <t>Хорошее место. Были на выступлении Юлии Коган. Супер. Все понравилось. Юлька-бомба! Голосище: Монсеррат Кабалье</t>
  </si>
  <si>
    <t>ChZDSUhNMG9nS0VJQ0FnSURiblBIQkVnEAE</t>
  </si>
  <si>
    <t>2024-08-03T00:02:37Z</t>
  </si>
  <si>
    <t>Это место было классным в 2013 последний раз 😄 на входе очередь не двигается, хотя внутри достаточно свободно. Дальше разводили на каждом шагу 😄
Предложили пройти через вип вход со столом за 25к на 5 человек в пятницу. Ну ок) коктейли - вода, контингент сомнительный. Решили заказать вино чтобы не пить сладкую воду вместо коктейлей. Принесли бутылку за х7 от цены Simple Wine не согласовав прайс и потом рассказывали сказки что нельзя отменить заказ закрытой бутылки вина. Хотя статья 782 ГК РФ была на нашей стороне. Мы решили забить, не портить вечер уж до конца и оставили 40к за сомнительный сервис. Ну што ш 😅
Кальянщик топ</t>
  </si>
  <si>
    <t>ChZDSUhNMG9nS0VJQ0FnSUNaaU16Z0pREAE</t>
  </si>
  <si>
    <t>2023-09-02T23:08:38Z</t>
  </si>
  <si>
    <t>There's a fat idiot at the door telling people they can't come in just because he says so. This is just a despicable NYC club with the wrong zip code...</t>
  </si>
  <si>
    <t>ChZDSUhNMG9nS0VJQ0FnSUNwel8teFJBEAE</t>
  </si>
  <si>
    <t>2023-08-12T21:28:45Z</t>
  </si>
  <si>
    <t>Я уже человек немолодой, но поставлю в угол 3/4 клуба по движу, но мне в моем возрасте нужен кислород, где вытяжка, проветривание, где растения которые его выделяют, парилка лучше чем в банк, кто хочет похудеть и задохнутбся, сюда.</t>
  </si>
  <si>
    <t>ChdDSUhNMG9nS0VJQ0FnSURQNlpEam5RRRAB</t>
  </si>
  <si>
    <t>2024-12-03T17:08:26Z</t>
  </si>
  <si>
    <t>Мне очень понравился клуб, весело, музыка отличная, танцевали как в последний раз, взяли столик посидели покушали, закуски и пиццу, кухня на высоте.</t>
  </si>
  <si>
    <t>Ci9DQUlRQUNvZENodHljRjlvT21ocWIycHZjbm8yYzNvMlEyNWlaRjlUTjBWRE4yYxAB</t>
  </si>
  <si>
    <t>2025-07-31T07:19:07Z</t>
  </si>
  <si>
    <t>Вот не в одном баре я не ел такого вкусного бургера. Видно, что ребята заботятся не только о том чтобы было вкусно выпить, но и поесть. Советую тот что с голубым сыром и вишней. С чем-нибудь крепким залетает как к себе домой.</t>
  </si>
  <si>
    <t>ChZDSUhNMG9nS0VJQ0FnSUM3bE9HNWJREAE</t>
  </si>
  <si>
    <t>2024-08-12T20:32:30Z</t>
  </si>
  <si>
    <t>Обманули с депозитом, потратили больше лимита, не дали сесть за стол</t>
  </si>
  <si>
    <t>ChdDSUhNMG9nS0VJQ0FnSURtbHFYZDd3RRAB</t>
  </si>
  <si>
    <t>2022-01-27T12:41:45Z</t>
  </si>
  <si>
    <t>Музыка Топ. Техно качает!!! Если любите электронную музыку советую заехать!</t>
  </si>
  <si>
    <t>ChdDSUhNMG9nS0VJQ0FnSUNUbF9uQXh3RRAB</t>
  </si>
  <si>
    <t>2024-05-20T03:50:57Z</t>
  </si>
  <si>
    <t>Nice place for people who love music</t>
  </si>
  <si>
    <t>ChdDSUhNMG9nS0VJQ0FnSURidlBpaXdRRRAB</t>
  </si>
  <si>
    <t>2024-08-03T04:18:40Z</t>
  </si>
  <si>
    <t>Приехали компанией друзей(5 человек)
Троих пропустили, нас оставили, друзья были одеты по дресс коду так же как мы, делали qr на проход заранее (на 2 дня раньше события), в итоге на фейсе просто забили и развернули, не объяснив ничего, даже банк показал, где видно что деньги есть😂, одеты были хорошо, не пошло, не как бомжы, документы с собой, ничего не спросили и развернули, охрана хамит, не отвечает на вопросы, на входе входят 16-ти летние просто за 2т.р, а сов.летних не пускают 😂 вообщем,не советую</t>
  </si>
  <si>
    <t>Ci9DQUlRQUNvZENodHljRjlvT25kaU9EbENObUpGVVZwamRDMUpkRzgxTW5vdFluYxAB</t>
  </si>
  <si>
    <t>2025-07-21T10:28:53Z</t>
  </si>
  <si>
    <t>Даже не планировали сюда заходить, но гуляли по Патрикам и розовая вывеска заманила нас сама) Всем рекомендую попробовать здесь Порн Стар Мартини, делают прям очень хорошо 🤌🏻</t>
  </si>
  <si>
    <t>ChdDSUhNMG9nS0VJQ0FnSURQNk95cDRRRRAB</t>
  </si>
  <si>
    <t>2024-11-28T18:11:29Z</t>
  </si>
  <si>
    <t>Еда и пиво огонь. Коктейли пустые. Один лёд и сиропы.</t>
  </si>
  <si>
    <t>Ci9DQUlRQUNvZENodHljRjlvT25SV1ZGVmpVbWM0YjFsVGJUbEtVVUp0TldKNlRWRRAB</t>
  </si>
  <si>
    <t>2025-09-16T06:29:59Z</t>
  </si>
  <si>
    <t>Для меня это был первый опыт хождения по ночным клубам) Друзья позвали в этот на день рождения. Крутая атмосфера, музыка разнообразная и есть очень вкусные, сладкие коктейли. Люди не толпились, как это обычно бывает в клубах, потому что пространство для танцев огромное. Рекомедую провести тут приятный вечер!</t>
  </si>
  <si>
    <t>ChZDSUhNMG9nS0VJQ0FnSURtemJLZkFREAE</t>
  </si>
  <si>
    <t>2022-02-05T14:31:32Z</t>
  </si>
  <si>
    <t>Атмосфера 5из5
Персонал 4из пяти понравилось все кроме барменов которое кого им внешне нравилось обслуживали вперёд.
И слабая организация для входов выходов, из-за это столпотворение было постоянно</t>
  </si>
  <si>
    <t>Ci9DQUlRQUNvZENodHljRjlvT2tSSmVUVkRObGMxU0dSMmVUWXhlVzV3VjBSUllXYxAB</t>
  </si>
  <si>
    <t>2026-08-22T03:42:14Z</t>
  </si>
  <si>
    <t>Интересное заведение с ярким контингентом, Ярослав тащил этот вечер своими настойками и настроением! Повеселились на ура!</t>
  </si>
  <si>
    <t>Ci9DQUlRQUNvZENodHljRjlvT2t4MVNqY3hXVEI0UkdoaGRrRklUV3BmVFdsVGFXYxAB</t>
  </si>
  <si>
    <t>2026-04-17T22:06:23Z</t>
  </si>
  <si>
    <t>Взяли на входе 5000т. рублей. Дороговато, даже напитк не входил в этот ценник. Пела там какая-то группа...      Внутри тесновато. Не рекомендую,  если только вы не фанат группу которая будет выступать.</t>
  </si>
  <si>
    <t>ChZDSUhNMG9nS0VJQ0FnSUQ1dktmOWNBEAE</t>
  </si>
  <si>
    <t>2023-10-20T23:09:40Z</t>
  </si>
  <si>
    <t>Отличный клуб, охрана отлично работает. Фэйсконтроль на высшем уровне, контингент хороший,сервис всегда с улыбкой, ходим только сюда.</t>
  </si>
  <si>
    <t>ChdDSUhNMG9nS0VJQ0FnSUN4LTY3MGx3RRAB</t>
  </si>
  <si>
    <t>2023-05-27T07:40:54Z</t>
  </si>
  <si>
    <t>Классное место, но почему, если концерт начинается в 19, толпу начинают запускать только в 18:50, не раньше? В итоге концерт задержался больше чем на час. Пришлось сидеть, ждать. Администраторы могли бы рассчитать время на пропуск, учитывая количество купленных билетов, и не заставлять людей нервничать.</t>
  </si>
  <si>
    <t>ChZDSUhNMG9nS0VNTEpvNmVhcmJ5QUpnEAE</t>
  </si>
  <si>
    <t>2025-06-07T14:43:39Z</t>
  </si>
  <si>
    <t>Мне все понравилось</t>
  </si>
  <si>
    <t>Ci9DQUlRQUNvZENodHljRjlvT2pkUWFIWlZlbWhHZDFCYWRHVnVhamhHWkRCdWNtYxAB</t>
  </si>
  <si>
    <t>2025-12-01T15:17:14Z</t>
  </si>
  <si>
    <t>Если вы ищете идеальное место для вечера в компании друзей или хотите по-настоящему расслабиться и спеть любимые хиты, то караоке-клуб «Родина» в самом центре Москвы — это именно то, что вам нужно!
Атмосфера и интерьер с первого шага в «Родину» вы окунаетесь в удивительно приятную, почти домашнюю атмосферу. Здесь нет лишней помпезности, но при этом чувствуется продуманность каждой детали. Клуб выделяется своим единым интерьерным кодом и идеей, которые создают целостное и очень гармоничное пространство. Это не просто караоке, это место, где уют сочетается со стилем, и вы чувствуете себя комфортно, как дома!
Музыкальная коллекция и оборудование
Особого внимания заслуживает. В «Родине» всегда доступны самые последние обновления каталогов песен. Это значит, что вы всегда найдете как бессмертные хиты, так и самые свежие треки, которые только что покорили чарты. Оборудование на высшем уровне, звук чистый, а микрофоны настроены так, что каждый почувствует себя звездой сцены.
Обслуживание
Персонал очень внимателен и дружелюбен. Здесь действительно заботятся о каждом госте, создавая все условия для незабываемого отдыха. Бармены приготовят ваши любимые напитки, а официанты всегда готовы помочь с выбором блюд.
Итог
«Родина» — это не просто караоке-клуб, это настоящая находка для тех, кто ценит качественный отдых, комфорт и возможность по-настоящему оторваться под любимую музыку. Однозначно рекомендую всем, кто хочет провести незабываемый вечер!</t>
  </si>
  <si>
    <t>ChdDSUhNMG9nS0VJQ0FnSUNXdEpXajd3RRAB</t>
  </si>
  <si>
    <t>2022-02-19T06:28:00Z</t>
  </si>
  <si>
    <t>Очень классный дизайн. Вкусные кок , средняя цена 700 рублей за коктейль.</t>
  </si>
  <si>
    <t>Ci9DQUlRQUNvZENodHljRjlvT2w5V1dYbGpWVW8zUjFCRlEwSkZkM2RHY0VoQlYxRRAB</t>
  </si>
  <si>
    <t>2025-08-02T09:09:00Z</t>
  </si>
  <si>
    <t>Подруги тайком отвезли сюда на девичник. Подкатили к Happy End на тонированном BMW и эпохально зашли 😂 В этот день повезло с диджеем, играли классные песни. Успели и потанцевать, и выпить и даже научиться правильно пить текилу. За инструктаж отдельно благодарим бармена с короткими волосами, он был супер милым 🥹 И за подарочный милфкейк от команды тоже tnx!!</t>
  </si>
  <si>
    <t>ChdDSUhNMG9nS0VJQ0FnSUNGNmZ5aHFBRRAB</t>
  </si>
  <si>
    <t>2023-10-29T01:52:03Z</t>
  </si>
  <si>
    <t>Отвратительное место! Не советую!
Отстояла 1,5 часа в очереди! Персонал очень грубый и отношение к посетителям максимально пренебрежительное!
Битком забитый  зал, вследствие чего я получила травму! В общем, впечатление на вечер и на предстоящий месяц-отвратильное! Советую тысячу раз подумать, прежде чем туда поехать!!!</t>
  </si>
  <si>
    <t>ChZDSUhNMG9nS0VJQ0FnSUNtMmJESGNnEAE</t>
  </si>
  <si>
    <t>2022-01-02T21:35:43Z</t>
  </si>
  <si>
    <t>Неплохой клуб. Был на фесте "Всё идёт по панку" 11.12.2021. Звук был хороший, бар тоже ничего, цены относительно демократичный. Внутри была тату-студия - не знаю, разовая ли это акция от ребят из группы "Чёртово колесо инженера Ферриса", которые бьют татухи помимо музыкальной деятельности, но идея крутая. На входе ставили печать "пожалуйста, носите маски" - прикольный ход. 4 за то, что, очевидно, владельцы продешевили на персонале, вследствие чего все - и девушки за барной стойкой, и охрана - были завалены работой, постоянно нервничали. Охрана была хамоватая. В целом - клуб прекрасный, если бы у них было бы буквально на пару больше человек персонала - цены бы не было.</t>
  </si>
  <si>
    <t>ChdDSUhNMG9nS0VJQ0FnSUNaNi1DYjBnRRAB</t>
  </si>
  <si>
    <t>2023-09-18T12:43:13Z</t>
  </si>
  <si>
    <t>Отличный  место</t>
  </si>
  <si>
    <t>ChdDSUhNMG9nS0VJQ0FnSURaOFk2bmxnRRAB</t>
  </si>
  <si>
    <t>2023-10-03T10:46:29Z</t>
  </si>
  <si>
    <t>От Пропаганы остались одни воспоминания( Ходили много лет сюда на ланчи, последние года 3 официанты хамоватые, их мало, не заинтересованные в клиентах, обслуживание просто ужасное, по еде более-менее. Раньше в обед можно было даже не найти место, сейчас народу почти нет. Сейчас сидим 35 минут, только принесли напитки, и это ланч🤦‍♀️🤦‍♀️🤦‍♀️</t>
  </si>
  <si>
    <t>ChZDSUhNMG9nS0VJQ0FnSURtdnFxWUFREAE</t>
  </si>
  <si>
    <t>2022-01-29T19:52:07Z</t>
  </si>
  <si>
    <t>Если хотите потрясающие обслуживание и наивкуснейшие коктейли, вам к Вадиму…он ещё и разговор поддержит)))</t>
  </si>
  <si>
    <t>Ci9DQUlRQUNvZENodHljRjlvT2t4S1lXeFpSMGRxT1hkWlpYTnBhM3B1UTBsMFQwRRAB</t>
  </si>
  <si>
    <t>2025-11-14T20:15:43Z</t>
  </si>
  <si>
    <t>Ваще кайф:)</t>
  </si>
  <si>
    <t>Ci9DQUlRQUNvZENodHljRjlvT2xaUVdFazRNMFpvVGtrd01tdGpUR3BmVjFOSVNIYxAB</t>
  </si>
  <si>
    <t>2026-06-25T12:39:49Z</t>
  </si>
  <si>
    <t>The evening shift employee mockingly asked me for 5,000 to enter, along with his friends.</t>
  </si>
  <si>
    <t>ChdDSUhNMG9nS0VJQ0FnSURaanBIOTd3RRAB</t>
  </si>
  <si>
    <t>2023-09-30T23:00:01Z</t>
  </si>
  <si>
    <t>Место не для всех, те кто любит клубняк оценят, остальные вообще мимо</t>
  </si>
  <si>
    <t>Ci9DQUlRQUNvZENodHljRjlvT2xaUFV6bHBUMkZOU25FMVkxb3dXa1JEVEVaUk5YYxAB</t>
  </si>
  <si>
    <t>2025-09-27T23:22:19Z</t>
  </si>
  <si>
    <t>Service thanks to Mikhail is great....
Did not eat</t>
  </si>
  <si>
    <t>ChdDSUhNMG9nS0VKenFsT3JGa29qX3R3RRAB</t>
  </si>
  <si>
    <t>2025-06-03T20:38:16Z</t>
  </si>
  <si>
    <t>Güzeldi, kapandı</t>
  </si>
  <si>
    <t>Ci9DQUlRQUNvZENodHljRjlvT2psZlpXcHpVM3BtVm1ORWVYWm9kekpPTkZSUVUzYxAB</t>
  </si>
  <si>
    <t>2025-07-29T08:46:05Z</t>
  </si>
  <si>
    <t>Блин, какой был крутой гест с Машей Баранец 😻 Мы два дня подряд ходили!! Коктейль Бэйзил инстинкт понравился очень, свежий, легкий, с горчинкой. Мб введете на постоянку 🙏🏻</t>
  </si>
  <si>
    <t>ChZDSUhNMG9nS0VJQ0FnSUNKdGJ2Q0V3EAE</t>
  </si>
  <si>
    <t>2023-07-02T04:21:06Z</t>
  </si>
  <si>
    <t>Очереди везде. На концерт простояли около 3 часов без преувеличений. Внутри тоже очереди везде и в бар и в туалет. Желаю вам наихудшего</t>
  </si>
  <si>
    <t>Ci9DQUlRQUNvZENodHljRjlvT2toelp6ZENURWhsVVV0UE1rMUtjamwwY0hkRk0wRRAB</t>
  </si>
  <si>
    <t>2026-07-06T07:22:59Z</t>
  </si>
  <si>
    <t>Был здесь на выпускном и завидовал выпускникам - в моё время о таком я даже не мог и мечтать -))
Клуб давний, с историей; как оказалось, я тут был, но... лет 15 назад. А постепенно что-то начало вспоминаться -))
Gypsy - многоуровневый, что в нашем случае дало возможность разделить зону родителей и зону детей (у детей к родителям доступа не было, а родителей к детям - был).
Сцена и танцпол, вроде бы, небольшие, но места хватило всем.
Прочитал в одном из отзывов (с другого выпускного), что организация была плохой.
В нашем случае организация была очень крутой.
То, что всех обыскивали - так клуб рискует закрытием, если они позволят подросткам пронести алкоголь.
Но я бы не сказал, что девушек обыскивали как-то слишком сурово. Другое дело, что всего один человек был на рамке, что задерживало всю девичью группу.
Зато парней обыскивали быстро.
Замечу - и родителей, и учителей - всех.
И это - тоже правильно.
А так - свет, звук, шоу - всё было на высочайшем уровне. Даже такому домоседу, как я, всё понравилось -)
Охранники - немолодые, довольно суровые, большие, но любое их вмешательство было корректным и по делу.
Gypsy по-прежнему крут.
И стандарт выпускного - высочайший стандарт - для меня теперь неизменно ассоциируется с ним.</t>
  </si>
  <si>
    <t>Ci9DQUlRQUNvZENodHljRjlvT25kaFIwdEpTakpYZEdWMU5IWXRVRzVyV1U4emNIYxAB</t>
  </si>
  <si>
    <t>2025-10-20T09:21:01Z</t>
  </si>
  <si>
    <t>в пятницу (17.10.2025) купили билеты через яндекс афишу на тусовку дифм, хотели потанцевать, послушать музыку. пускать на мероприятие стали только в 22/00, так нас  еще и не пустили. билеты предоплаченные отсканили, но в клуб не пустили, сказав, что  дословно "у них проходят не все". Охранник заверил, что деньги вернут (мой билет стоил именно на тусовку 2500р., подруга взяла за 3000р.)
Некрасиво поступили, у подруги еще и день рождения был в  этот день. Очень ждем, что Вы нам компенсируете затраты на билеты и моральный вред.</t>
  </si>
  <si>
    <t>ChdDSUhNMG9nS0VJQ0FnSUNteWYzZGxRRRAB</t>
  </si>
  <si>
    <t>2022-01-02T00:45:22Z</t>
  </si>
  <si>
    <t>Бесконечная очередь в туалет.</t>
  </si>
  <si>
    <t>Ci9DQUlRQUNvZENodHljRjlvT2pkU2FWVjJVR3hOV1V0a05sWm5Wa1pZTkRsdWFrRRAB</t>
  </si>
  <si>
    <t>2025-09-09T08:55:16Z</t>
  </si>
  <si>
    <t>PAPA MOSCOW идеальное место собраться с друзьями и потусить! Диджей просто отжигает так, что хочется танцевать всё время! Очень приятная атмосфера,дизайн и многое другое! Также приятные бармены, вкусные коктейли и еда. Любим приходить туда с компанией по выходным, там всегда новая концепция и атмосфера. Мне очень понравился клуб, для меня он самый лучший!</t>
  </si>
  <si>
    <t>ChZDSUhNMG9nS0VJQ0FnSUNtLWZhVUd3EAE</t>
  </si>
  <si>
    <t>2022-01-03T13:00:09Z</t>
  </si>
  <si>
    <t>Настоящая легенда столицы. Старейший клуб с 1996 года!! (Столько не живут). Очень вкусная еда и демократические цены. В районе полуночи начинается ночная дискотека - каждый день.)) Ух сколько ночей тут было проведено и сколько интересных знакомств! Эх, было время ))</t>
  </si>
  <si>
    <t>Ci9DQUlRQUNvZENodHljRjlvT25kc1IzUlZlbVl6YnpGS1lXRjFjRE5TVDNWRmFHYxAB</t>
  </si>
  <si>
    <t>2026-04-20T18:43:53Z</t>
  </si>
  <si>
    <t>Andateci perché è qualcosa di speciale a Mosca
Buona techno belle ragazze e barmen molto preparate</t>
  </si>
  <si>
    <t>ChZDSUhNMG9nS0VJQ0FnSUMzOHBMd0xnEAE</t>
  </si>
  <si>
    <t>2024-11-04T12:03:53Z</t>
  </si>
  <si>
    <t>Мне очень зашел клуб, классный танцпол, музыка, а шары вообще что-то с чем-то. Единственное не понравилось это малое количество мест чтобы посидеть. А так крутое место</t>
  </si>
  <si>
    <t>ChZDSUhNMG9nS0VJQ0FnSUN4djdlUFp3EAE</t>
  </si>
  <si>
    <t>2023-05-29T21:08:14Z</t>
  </si>
  <si>
    <t>лучший клуб в москве</t>
  </si>
  <si>
    <t>Ci9DQUlRQUNvZENodHljRjlvT2xKaFRFVlJlalJZY2pGaVNuUjRWbVJYWkd4SlVGRRAB</t>
  </si>
  <si>
    <t>2025-10-08T08:36:52Z</t>
  </si>
  <si>
    <t>Не так давно посещал ночной клуб PAPA MOSCOW. Вкусная еда, музыка отличная, атмосфера прекрасная, отдохнуть получилось хорошо👍</t>
  </si>
  <si>
    <t>Ci9DQUlRQUNvZENodHljRjlvT2pCNk9XMDBNbms0ZGtrdFUybG9lQzFmT0RoU05HYxAB</t>
  </si>
  <si>
    <t>2025-09-10T15:31:29Z</t>
  </si>
  <si>
    <t>Люблю заходить в эту кафешку ночную! Особенно после пятницы и на выходных. Бармены добрые, не хамят. Вкусная еда и напитки, буду заходить как можно чаще</t>
  </si>
  <si>
    <t>ChZDSUhNMG9nS0VJQ0FnSURtcnB1aktREAE</t>
  </si>
  <si>
    <t>2022-01-28T23:02:39Z</t>
  </si>
  <si>
    <t>Прекрасно!!  Весело!</t>
  </si>
  <si>
    <t>ChZDSUhNMG9nS0VJQ0FnSURMbmRUUVZBEAE</t>
  </si>
  <si>
    <t>2024-06-29T18:41:28Z</t>
  </si>
  <si>
    <t>Нам не принесли меню,а друугим принесли,больше не придем</t>
  </si>
  <si>
    <t>Ci9DQUlRQUNvZENodHljRjlvT2xSMWF6UTBWVVYyVG1wMlVWSlZXVXc1YlZjNVlsRRAB</t>
  </si>
  <si>
    <t>2026-02-14T22:45:59Z</t>
  </si>
  <si>
    <t>Клуб очень нравится! Атмосферная музыка! Приятный персонал и хорошие охранники! Из улучшений хотелось побольше мест для сидений</t>
  </si>
  <si>
    <t>Ci9DQUlRQUNvZENodHljRjlvT2xwWlJWcEJlSEZuU1c5blEwZG5SemhNT0VWT1MxRRAB</t>
  </si>
  <si>
    <t>2026-07-25T21:02:18Z</t>
  </si>
  <si>
    <t>ништяк место, можно потусить</t>
  </si>
  <si>
    <t>Ci9DQUlRQUNvZENodHljRjlvT2xsVU5FWTBlbGhuWDJkaVowNXRWRTlGWjFsMWMyYxAB</t>
  </si>
  <si>
    <t>2025-10-19T18:52:17Z</t>
  </si>
  <si>
    <t>Отвратительное место. Добиралась три часа. Фейс контроль, не пропустил по билету. А смысл тогда вообще продавать билеты на сайте,если половину людей не пускают? Или ваш клуб так наживается на невинных людях?Если в течении недели,не вернутся деньги,будет написано заявление.Это заведение нужно проверять. Самый худший клуб.</t>
  </si>
  <si>
    <t>Ci9DQUlRQUNvZENodHljRjlvT2pOVUxXbHlVVFU1VlVac2IwOVFWbmRsYjBSNVFuYxAB</t>
  </si>
  <si>
    <t>2026-07-15T21:11:37Z</t>
  </si>
  <si>
    <t>Классный бар, вернусь сюда ещё</t>
  </si>
  <si>
    <t>Ci9DQUlRQUNvZENodHljRjlvT2xaM1ZUVmllbWs1Y3pSaldHMU5NSFY0ZERWU01WRRAB</t>
  </si>
  <si>
    <t>2026-03-26T14:48:46Z</t>
  </si>
  <si>
    <t>Великолепный клуб,крутая атмосфера, шикарный дизайн и обстановка! Честный бар, хороший фейс контроль. Контингент всегда допускается адекватный и прекрасно выглядевший! Всегда</t>
  </si>
  <si>
    <t>Частоты тем в размеченной выборке</t>
  </si>
  <si>
    <t>Всего отзывов</t>
  </si>
  <si>
    <t>Из них негативных (оценка ≤3)</t>
  </si>
  <si>
    <t>Тема</t>
  </si>
  <si>
    <t>Упоминаний всего</t>
  </si>
  <si>
    <t>Доля от всех</t>
  </si>
  <si>
    <t>Упоминаний в негативе</t>
  </si>
  <si>
    <t>Доля в негативе</t>
  </si>
  <si>
    <t>Отзывов без единой темы</t>
  </si>
  <si>
    <t>Тем на отзыв в среднем</t>
  </si>
  <si>
    <t>Benchmark</t>
  </si>
  <si>
    <t>платный_вход</t>
  </si>
  <si>
    <t>вход_фейсконтроль_охрана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</si>
</sst>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name val="Helvetica Neue"/>
      <charset val="1"/>
    </font>
    <font>
      <sz val="12"/>
      <name val="Helvetica Neue"/>
      <family val="2"/>
      <charset val="1"/>
    </font>
    <font>
      <b/>
      <sz val="10"/>
      <name val="Helvetica Neue"/>
      <family val="2"/>
      <charset val="1"/>
    </font>
    <font>
      <b/>
      <sz val="13"/>
      <name val="Arial"/>
      <family val="2"/>
    </font>
    <font>
      <sz val="10"/>
      <name val="Arial"/>
      <family val="2"/>
    </font>
    <font>
      <b/>
      <sz val="11"/>
      <name val="Arial"/>
      <family val="2"/>
    </font>
    <font>
      <sz val="10"/>
      <name val="Helvetica Neue"/>
      <family val="2"/>
    </font>
  </fonts>
  <fills count="6">
    <fill>
      <patternFill patternType="none"/>
    </fill>
    <fill>
      <patternFill patternType="gray125"/>
    </fill>
    <fill>
      <patternFill patternType="solid">
        <fgColor rgb="FFFFFFFF"/>
        <bgColor rgb="FFFFFFCC"/>
      </patternFill>
    </fill>
    <fill>
      <patternFill patternType="solid">
        <fgColor theme="2"/>
        <bgColor rgb="FFFFFFCC"/>
      </patternFill>
    </fill>
    <fill>
      <patternFill patternType="solid">
        <fgColor theme="2" tint="-0.249977111117893"/>
        <bgColor rgb="FFCCFFCC"/>
      </patternFill>
    </fill>
    <fill>
      <patternFill patternType="solid">
        <fgColor theme="2"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top" wrapText="1"/>
    </xf>
  </cellStyleXfs>
  <cellXfs count="19">
    <xf numFmtId="0" fontId="0" fillId="0" borderId="0" xfId="0">
      <alignment vertical="top" wrapText="1"/>
    </xf>
    <xf numFmtId="0" fontId="0" fillId="0" borderId="0" xfId="0" applyAlignment="1">
      <alignment vertical="top"/>
    </xf>
    <xf numFmtId="49" fontId="2" fillId="2" borderId="1" xfId="0" applyNumberFormat="1" applyFont="1" applyFill="1" applyBorder="1" applyAlignment="1">
      <alignment vertical="top"/>
    </xf>
    <xf numFmtId="49" fontId="0" fillId="0" borderId="1" xfId="0" applyNumberFormat="1" applyBorder="1" applyAlignment="1">
      <alignment vertical="top"/>
    </xf>
    <xf numFmtId="0" fontId="0" fillId="0" borderId="1" xfId="0" applyBorder="1" applyAlignment="1">
      <alignment vertical="top"/>
    </xf>
    <xf numFmtId="49" fontId="0" fillId="0" borderId="1" xfId="0" applyNumberFormat="1" applyBorder="1">
      <alignment vertical="top" wrapText="1"/>
    </xf>
    <xf numFmtId="0" fontId="0" fillId="0" borderId="0" xfId="0" applyAlignment="1"/>
    <xf numFmtId="0" fontId="3" fillId="0" borderId="0" xfId="0" applyFont="1" applyAlignment="1"/>
    <xf numFmtId="0" fontId="4" fillId="0" borderId="0" xfId="0" applyFont="1" applyAlignment="1"/>
    <xf numFmtId="164" fontId="4" fillId="0" borderId="0" xfId="0" applyNumberFormat="1" applyFont="1" applyAlignment="1"/>
    <xf numFmtId="2" fontId="4" fillId="0" borderId="0" xfId="0" applyNumberFormat="1" applyFont="1" applyAlignment="1"/>
    <xf numFmtId="2" fontId="0" fillId="0" borderId="1" xfId="0" applyNumberFormat="1" applyBorder="1" applyAlignment="1">
      <alignment vertical="top"/>
    </xf>
    <xf numFmtId="49" fontId="2" fillId="3" borderId="1" xfId="0" applyNumberFormat="1" applyFont="1" applyFill="1" applyBorder="1" applyAlignment="1" applyProtection="1">
      <alignment vertical="top"/>
      <protection locked="0"/>
    </xf>
    <xf numFmtId="2" fontId="6" fillId="0" borderId="1" xfId="0" applyNumberFormat="1" applyFont="1" applyBorder="1" applyAlignment="1">
      <alignment vertical="top"/>
    </xf>
    <xf numFmtId="49" fontId="6" fillId="0" borderId="1" xfId="0" applyNumberFormat="1" applyFont="1" applyBorder="1" applyAlignment="1">
      <alignment vertical="top"/>
    </xf>
    <xf numFmtId="0" fontId="5" fillId="4" borderId="0" xfId="0" applyFont="1" applyFill="1" applyAlignment="1">
      <alignment vertical="center" wrapText="1"/>
    </xf>
    <xf numFmtId="0" fontId="4" fillId="5" borderId="0" xfId="0" applyFont="1" applyFill="1" applyAlignment="1"/>
    <xf numFmtId="164" fontId="4" fillId="5" borderId="0" xfId="0" applyNumberFormat="1" applyFont="1" applyFill="1" applyAlignment="1"/>
    <xf numFmtId="0" fontId="1" fillId="0" borderId="0" xfId="0" applyFont="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51"/>
  <sheetViews>
    <sheetView showGridLines="0" topLeftCell="D1" zoomScaleNormal="100" workbookViewId="0">
      <pane ySplit="3" topLeftCell="A50" activePane="bottomLeft" state="frozen"/>
      <selection pane="bottomLeft" activeCell="F2" sqref="F2"/>
    </sheetView>
  </sheetViews>
  <sheetFormatPr baseColWidth="10" defaultColWidth="8.33203125" defaultRowHeight="13" x14ac:dyDescent="0.15"/>
  <cols>
    <col min="1" max="1" width="73.5" style="1" customWidth="1"/>
    <col min="2" max="2" width="22.6640625" style="1" customWidth="1"/>
    <col min="3" max="3" width="6.1640625" style="1" customWidth="1"/>
    <col min="4" max="4" width="18.6640625" style="1" customWidth="1"/>
    <col min="5" max="5" width="166.6640625" style="1" customWidth="1"/>
    <col min="6" max="6" width="18.33203125" style="1" customWidth="1"/>
    <col min="7" max="7" width="15.33203125" style="1" hidden="1" customWidth="1"/>
    <col min="8" max="8" width="12.1640625" style="1" customWidth="1"/>
    <col min="9" max="9" width="16" style="1" customWidth="1"/>
    <col min="10" max="10" width="8.1640625" style="1" customWidth="1"/>
    <col min="11" max="11" width="19.33203125" style="1" customWidth="1"/>
    <col min="12" max="12" width="11.33203125" style="1" customWidth="1"/>
    <col min="13" max="15" width="7.33203125" style="1" customWidth="1"/>
    <col min="16" max="16" width="15.83203125" style="1" customWidth="1"/>
    <col min="17" max="16384" width="8.33203125" style="1"/>
  </cols>
  <sheetData>
    <row r="1" spans="1:16" ht="27.75" customHeight="1" x14ac:dyDescent="0.15">
      <c r="A1" s="18" t="s">
        <v>493</v>
      </c>
      <c r="B1" s="18"/>
      <c r="C1" s="18"/>
      <c r="D1" s="18"/>
      <c r="E1" s="18"/>
      <c r="F1" s="18"/>
      <c r="G1" s="18"/>
      <c r="H1" s="18"/>
      <c r="I1" s="18"/>
      <c r="J1" s="18"/>
      <c r="K1" s="18"/>
      <c r="L1" s="18"/>
      <c r="M1" s="18"/>
    </row>
    <row r="2" spans="1:16" ht="20.25" customHeight="1" x14ac:dyDescent="0.15">
      <c r="A2" s="12" t="s">
        <v>0</v>
      </c>
      <c r="B2" s="12" t="s">
        <v>1</v>
      </c>
      <c r="C2" s="12" t="s">
        <v>2</v>
      </c>
      <c r="D2" s="12" t="s">
        <v>3</v>
      </c>
      <c r="E2" s="12" t="s">
        <v>4</v>
      </c>
      <c r="F2" s="12" t="s">
        <v>495</v>
      </c>
      <c r="G2" s="12"/>
      <c r="H2" s="12" t="s">
        <v>5</v>
      </c>
      <c r="I2" s="12" t="s">
        <v>6</v>
      </c>
      <c r="J2" s="12" t="s">
        <v>7</v>
      </c>
      <c r="K2" s="12" t="s">
        <v>8</v>
      </c>
      <c r="L2" s="12" t="s">
        <v>9</v>
      </c>
      <c r="M2" s="12" t="s">
        <v>494</v>
      </c>
      <c r="N2" s="12" t="s">
        <v>10</v>
      </c>
      <c r="O2" s="12" t="s">
        <v>11</v>
      </c>
      <c r="P2" s="12" t="s">
        <v>12</v>
      </c>
    </row>
    <row r="3" spans="1:16" ht="20.25" customHeight="1" x14ac:dyDescent="0.15">
      <c r="A3" s="2" t="s">
        <v>13</v>
      </c>
      <c r="B3" s="3" t="s">
        <v>14</v>
      </c>
      <c r="C3" s="13">
        <v>5</v>
      </c>
      <c r="D3" s="3" t="s">
        <v>15</v>
      </c>
      <c r="E3" s="3" t="s">
        <v>16</v>
      </c>
      <c r="F3" s="4">
        <v>0</v>
      </c>
      <c r="G3" s="4"/>
      <c r="H3" s="4">
        <v>0</v>
      </c>
      <c r="I3" s="4">
        <v>0</v>
      </c>
      <c r="J3" s="4">
        <v>0</v>
      </c>
      <c r="K3" s="4">
        <v>0</v>
      </c>
      <c r="L3" s="4">
        <v>0</v>
      </c>
      <c r="M3" s="4">
        <v>0</v>
      </c>
      <c r="N3" s="4">
        <v>0</v>
      </c>
      <c r="O3" s="4">
        <v>0</v>
      </c>
      <c r="P3" s="4">
        <v>0</v>
      </c>
    </row>
    <row r="4" spans="1:16" ht="19.5" customHeight="1" x14ac:dyDescent="0.15">
      <c r="A4" s="2" t="s">
        <v>17</v>
      </c>
      <c r="B4" s="3" t="s">
        <v>18</v>
      </c>
      <c r="C4" s="11">
        <v>1</v>
      </c>
      <c r="D4" s="3" t="s">
        <v>19</v>
      </c>
      <c r="E4" s="3" t="s">
        <v>20</v>
      </c>
      <c r="F4" s="4">
        <v>1</v>
      </c>
      <c r="G4" s="4"/>
      <c r="H4" s="4">
        <v>0</v>
      </c>
      <c r="I4" s="4">
        <v>1</v>
      </c>
      <c r="J4" s="4">
        <v>0</v>
      </c>
      <c r="K4" s="4">
        <v>0</v>
      </c>
      <c r="L4" s="4">
        <v>0</v>
      </c>
      <c r="M4" s="4">
        <v>0</v>
      </c>
      <c r="N4" s="4">
        <v>0</v>
      </c>
      <c r="O4" s="4">
        <v>0</v>
      </c>
      <c r="P4" s="4">
        <v>0</v>
      </c>
    </row>
    <row r="5" spans="1:16" ht="19.5" customHeight="1" x14ac:dyDescent="0.15">
      <c r="A5" s="2" t="s">
        <v>21</v>
      </c>
      <c r="B5" s="3" t="s">
        <v>22</v>
      </c>
      <c r="C5" s="11">
        <v>5</v>
      </c>
      <c r="D5" s="3" t="s">
        <v>23</v>
      </c>
      <c r="E5" s="3" t="s">
        <v>24</v>
      </c>
      <c r="F5" s="4">
        <v>0</v>
      </c>
      <c r="G5" s="4"/>
      <c r="H5" s="4">
        <v>0</v>
      </c>
      <c r="I5" s="4">
        <v>0</v>
      </c>
      <c r="J5" s="4">
        <v>0</v>
      </c>
      <c r="K5" s="4">
        <v>0</v>
      </c>
      <c r="L5" s="4">
        <v>0</v>
      </c>
      <c r="M5" s="4">
        <v>0</v>
      </c>
      <c r="N5" s="4">
        <v>0</v>
      </c>
      <c r="O5" s="4">
        <v>0</v>
      </c>
      <c r="P5" s="4">
        <v>0</v>
      </c>
    </row>
    <row r="6" spans="1:16" ht="19.5" customHeight="1" x14ac:dyDescent="0.15">
      <c r="A6" s="2" t="s">
        <v>25</v>
      </c>
      <c r="B6" s="3" t="s">
        <v>26</v>
      </c>
      <c r="C6" s="11">
        <v>5</v>
      </c>
      <c r="D6" s="3" t="s">
        <v>27</v>
      </c>
      <c r="E6" s="3" t="s">
        <v>28</v>
      </c>
      <c r="F6" s="4">
        <v>0</v>
      </c>
      <c r="G6" s="4"/>
      <c r="H6" s="4">
        <v>0</v>
      </c>
      <c r="I6" s="4">
        <v>0</v>
      </c>
      <c r="J6" s="4">
        <v>0</v>
      </c>
      <c r="K6" s="4">
        <v>0</v>
      </c>
      <c r="L6" s="4">
        <v>0</v>
      </c>
      <c r="M6" s="4">
        <v>0</v>
      </c>
      <c r="N6" s="4">
        <v>0</v>
      </c>
      <c r="O6" s="4">
        <v>0</v>
      </c>
      <c r="P6" s="4">
        <v>0</v>
      </c>
    </row>
    <row r="7" spans="1:16" ht="19.5" customHeight="1" x14ac:dyDescent="0.15">
      <c r="A7" s="2" t="s">
        <v>29</v>
      </c>
      <c r="B7" s="3" t="s">
        <v>18</v>
      </c>
      <c r="C7" s="11">
        <v>5</v>
      </c>
      <c r="D7" s="3" t="s">
        <v>30</v>
      </c>
      <c r="E7" s="3" t="s">
        <v>31</v>
      </c>
      <c r="F7" s="4">
        <v>0</v>
      </c>
      <c r="G7" s="4"/>
      <c r="H7" s="4">
        <v>0</v>
      </c>
      <c r="I7" s="4">
        <v>0</v>
      </c>
      <c r="J7" s="4">
        <v>0</v>
      </c>
      <c r="K7" s="4">
        <v>0</v>
      </c>
      <c r="L7" s="4">
        <v>0</v>
      </c>
      <c r="M7" s="4">
        <v>0</v>
      </c>
      <c r="N7" s="4">
        <v>0</v>
      </c>
      <c r="O7" s="4">
        <v>0</v>
      </c>
      <c r="P7" s="4">
        <v>0</v>
      </c>
    </row>
    <row r="8" spans="1:16" ht="19.5" customHeight="1" x14ac:dyDescent="0.15">
      <c r="A8" s="2" t="s">
        <v>32</v>
      </c>
      <c r="B8" s="3" t="s">
        <v>33</v>
      </c>
      <c r="C8" s="11">
        <v>1</v>
      </c>
      <c r="D8" s="3" t="s">
        <v>34</v>
      </c>
      <c r="E8" s="3" t="s">
        <v>35</v>
      </c>
      <c r="F8" s="4">
        <v>1</v>
      </c>
      <c r="G8" s="4"/>
      <c r="H8" s="4">
        <v>0</v>
      </c>
      <c r="I8" s="4">
        <v>0</v>
      </c>
      <c r="J8" s="4">
        <v>0</v>
      </c>
      <c r="K8" s="4">
        <v>0</v>
      </c>
      <c r="L8" s="4">
        <v>0</v>
      </c>
      <c r="M8" s="4">
        <v>1</v>
      </c>
      <c r="N8" s="4">
        <v>0</v>
      </c>
      <c r="O8" s="4">
        <v>0</v>
      </c>
      <c r="P8" s="4">
        <v>0</v>
      </c>
    </row>
    <row r="9" spans="1:16" ht="31.5" customHeight="1" x14ac:dyDescent="0.15">
      <c r="A9" s="2" t="s">
        <v>36</v>
      </c>
      <c r="B9" s="3" t="s">
        <v>37</v>
      </c>
      <c r="C9" s="11">
        <v>5</v>
      </c>
      <c r="D9" s="3" t="s">
        <v>38</v>
      </c>
      <c r="E9" s="5" t="s">
        <v>39</v>
      </c>
      <c r="F9" s="4">
        <v>0</v>
      </c>
      <c r="G9" s="4"/>
      <c r="H9" s="4">
        <v>0</v>
      </c>
      <c r="I9" s="4">
        <v>0</v>
      </c>
      <c r="J9" s="4">
        <v>0</v>
      </c>
      <c r="K9" s="4">
        <v>0</v>
      </c>
      <c r="L9" s="4">
        <v>0</v>
      </c>
      <c r="M9" s="4">
        <v>0</v>
      </c>
      <c r="N9" s="4">
        <v>0</v>
      </c>
      <c r="O9" s="4">
        <v>0</v>
      </c>
      <c r="P9" s="4">
        <v>0</v>
      </c>
    </row>
    <row r="10" spans="1:16" ht="19.5" customHeight="1" x14ac:dyDescent="0.15">
      <c r="A10" s="2" t="s">
        <v>40</v>
      </c>
      <c r="B10" s="3" t="s">
        <v>41</v>
      </c>
      <c r="C10" s="11">
        <v>5</v>
      </c>
      <c r="D10" s="3" t="s">
        <v>42</v>
      </c>
      <c r="E10" s="3" t="s">
        <v>43</v>
      </c>
      <c r="F10" s="4">
        <v>0</v>
      </c>
      <c r="G10" s="4"/>
      <c r="H10" s="4">
        <v>0</v>
      </c>
      <c r="I10" s="4">
        <v>0</v>
      </c>
      <c r="J10" s="4">
        <v>0</v>
      </c>
      <c r="K10" s="4">
        <v>0</v>
      </c>
      <c r="L10" s="4">
        <v>0</v>
      </c>
      <c r="M10" s="4">
        <v>0</v>
      </c>
      <c r="N10" s="4">
        <v>0</v>
      </c>
      <c r="O10" s="4">
        <v>0</v>
      </c>
      <c r="P10" s="4">
        <v>0</v>
      </c>
    </row>
    <row r="11" spans="1:16" ht="19.5" customHeight="1" x14ac:dyDescent="0.15">
      <c r="A11" s="2" t="s">
        <v>44</v>
      </c>
      <c r="B11" s="3" t="s">
        <v>45</v>
      </c>
      <c r="C11" s="11">
        <v>5</v>
      </c>
      <c r="D11" s="3" t="s">
        <v>46</v>
      </c>
      <c r="E11" s="3" t="s">
        <v>47</v>
      </c>
      <c r="F11" s="4">
        <v>0</v>
      </c>
      <c r="G11" s="4"/>
      <c r="H11" s="4">
        <v>0</v>
      </c>
      <c r="I11" s="4">
        <v>0</v>
      </c>
      <c r="J11" s="4">
        <v>0</v>
      </c>
      <c r="K11" s="4">
        <v>0</v>
      </c>
      <c r="L11" s="4">
        <v>0</v>
      </c>
      <c r="M11" s="4">
        <v>0</v>
      </c>
      <c r="N11" s="4">
        <v>0</v>
      </c>
      <c r="O11" s="4">
        <v>0</v>
      </c>
      <c r="P11" s="4">
        <v>0</v>
      </c>
    </row>
    <row r="12" spans="1:16" ht="19.5" customHeight="1" x14ac:dyDescent="0.15">
      <c r="A12" s="2" t="s">
        <v>48</v>
      </c>
      <c r="B12" s="3" t="s">
        <v>26</v>
      </c>
      <c r="C12" s="11">
        <v>5</v>
      </c>
      <c r="D12" s="3" t="s">
        <v>49</v>
      </c>
      <c r="E12" s="3" t="s">
        <v>50</v>
      </c>
      <c r="F12" s="4">
        <v>0</v>
      </c>
      <c r="G12" s="4"/>
      <c r="H12" s="4">
        <v>0</v>
      </c>
      <c r="I12" s="4">
        <v>0</v>
      </c>
      <c r="J12" s="4">
        <v>0</v>
      </c>
      <c r="K12" s="4">
        <v>0</v>
      </c>
      <c r="L12" s="4">
        <v>0</v>
      </c>
      <c r="M12" s="4">
        <v>0</v>
      </c>
      <c r="N12" s="4">
        <v>0</v>
      </c>
      <c r="O12" s="4">
        <v>0</v>
      </c>
      <c r="P12" s="4">
        <v>0</v>
      </c>
    </row>
    <row r="13" spans="1:16" ht="19.5" customHeight="1" x14ac:dyDescent="0.15">
      <c r="A13" s="2" t="s">
        <v>51</v>
      </c>
      <c r="B13" s="3" t="s">
        <v>52</v>
      </c>
      <c r="C13" s="11">
        <v>5</v>
      </c>
      <c r="D13" s="3" t="s">
        <v>53</v>
      </c>
      <c r="E13" s="3" t="s">
        <v>54</v>
      </c>
      <c r="F13" s="4">
        <v>0</v>
      </c>
      <c r="G13" s="4"/>
      <c r="H13" s="4">
        <v>0</v>
      </c>
      <c r="I13" s="4">
        <v>0</v>
      </c>
      <c r="J13" s="4">
        <v>0</v>
      </c>
      <c r="K13" s="4">
        <v>1</v>
      </c>
      <c r="L13" s="4">
        <v>0</v>
      </c>
      <c r="M13" s="4">
        <v>0</v>
      </c>
      <c r="N13" s="4">
        <v>0</v>
      </c>
      <c r="O13" s="4">
        <v>0</v>
      </c>
      <c r="P13" s="4">
        <v>0</v>
      </c>
    </row>
    <row r="14" spans="1:16" ht="67.5" customHeight="1" x14ac:dyDescent="0.15">
      <c r="A14" s="2" t="s">
        <v>55</v>
      </c>
      <c r="B14" s="3" t="s">
        <v>56</v>
      </c>
      <c r="C14" s="11">
        <v>1</v>
      </c>
      <c r="D14" s="3" t="s">
        <v>57</v>
      </c>
      <c r="E14" s="5" t="s">
        <v>58</v>
      </c>
      <c r="F14" s="4">
        <v>1</v>
      </c>
      <c r="G14" s="4"/>
      <c r="H14" s="4">
        <v>0</v>
      </c>
      <c r="I14" s="4">
        <v>0</v>
      </c>
      <c r="J14" s="4">
        <v>0</v>
      </c>
      <c r="K14" s="4">
        <v>0</v>
      </c>
      <c r="L14" s="4">
        <v>0</v>
      </c>
      <c r="M14" s="4">
        <v>0</v>
      </c>
      <c r="N14" s="4">
        <v>0</v>
      </c>
      <c r="O14" s="4">
        <v>0</v>
      </c>
      <c r="P14" s="4">
        <v>0</v>
      </c>
    </row>
    <row r="15" spans="1:16" ht="19.5" customHeight="1" x14ac:dyDescent="0.15">
      <c r="A15" s="2" t="s">
        <v>59</v>
      </c>
      <c r="B15" s="3" t="s">
        <v>41</v>
      </c>
      <c r="C15" s="11">
        <v>1</v>
      </c>
      <c r="D15" s="3" t="s">
        <v>60</v>
      </c>
      <c r="E15" s="3" t="s">
        <v>61</v>
      </c>
      <c r="F15" s="4">
        <v>0</v>
      </c>
      <c r="G15" s="4"/>
      <c r="H15" s="4">
        <v>0</v>
      </c>
      <c r="I15" s="4">
        <v>1</v>
      </c>
      <c r="J15" s="4">
        <v>0</v>
      </c>
      <c r="K15" s="4">
        <v>0</v>
      </c>
      <c r="L15" s="4">
        <v>0</v>
      </c>
      <c r="M15" s="4">
        <v>0</v>
      </c>
      <c r="N15" s="4">
        <v>0</v>
      </c>
      <c r="O15" s="4">
        <v>0</v>
      </c>
      <c r="P15" s="4">
        <v>0</v>
      </c>
    </row>
    <row r="16" spans="1:16" ht="19.5" customHeight="1" x14ac:dyDescent="0.15">
      <c r="A16" s="2" t="s">
        <v>62</v>
      </c>
      <c r="B16" s="3" t="s">
        <v>63</v>
      </c>
      <c r="C16" s="11">
        <v>1</v>
      </c>
      <c r="D16" s="3" t="s">
        <v>64</v>
      </c>
      <c r="E16" s="3" t="s">
        <v>65</v>
      </c>
      <c r="F16" s="4">
        <v>1</v>
      </c>
      <c r="G16" s="4"/>
      <c r="H16" s="4">
        <v>0</v>
      </c>
      <c r="I16" s="4">
        <v>0</v>
      </c>
      <c r="J16" s="4">
        <v>0</v>
      </c>
      <c r="K16" s="4">
        <v>0</v>
      </c>
      <c r="L16" s="4">
        <v>0</v>
      </c>
      <c r="M16" s="4">
        <v>0</v>
      </c>
      <c r="N16" s="4">
        <v>0</v>
      </c>
      <c r="O16" s="4">
        <v>0</v>
      </c>
      <c r="P16" s="4">
        <v>0</v>
      </c>
    </row>
    <row r="17" spans="1:16" ht="19.5" customHeight="1" x14ac:dyDescent="0.15">
      <c r="A17" s="2" t="s">
        <v>66</v>
      </c>
      <c r="B17" s="3" t="s">
        <v>41</v>
      </c>
      <c r="C17" s="11">
        <v>1</v>
      </c>
      <c r="D17" s="3" t="s">
        <v>67</v>
      </c>
      <c r="E17" s="3" t="s">
        <v>68</v>
      </c>
      <c r="F17" s="4">
        <v>0</v>
      </c>
      <c r="G17" s="4"/>
      <c r="H17" s="4">
        <v>0</v>
      </c>
      <c r="I17" s="4">
        <v>0</v>
      </c>
      <c r="J17" s="4">
        <v>0</v>
      </c>
      <c r="K17" s="4">
        <v>0</v>
      </c>
      <c r="L17" s="4">
        <v>1</v>
      </c>
      <c r="M17" s="4">
        <v>1</v>
      </c>
      <c r="N17" s="4">
        <v>0</v>
      </c>
      <c r="O17" s="4">
        <v>0</v>
      </c>
      <c r="P17" s="4">
        <v>0</v>
      </c>
    </row>
    <row r="18" spans="1:16" ht="19.5" customHeight="1" x14ac:dyDescent="0.15">
      <c r="A18" s="2" t="s">
        <v>69</v>
      </c>
      <c r="B18" s="3" t="s">
        <v>70</v>
      </c>
      <c r="C18" s="11">
        <v>4</v>
      </c>
      <c r="D18" s="3" t="s">
        <v>71</v>
      </c>
      <c r="E18" s="3" t="s">
        <v>72</v>
      </c>
      <c r="F18" s="4">
        <v>0</v>
      </c>
      <c r="G18" s="4"/>
      <c r="H18" s="4">
        <v>0</v>
      </c>
      <c r="I18" s="4">
        <v>0</v>
      </c>
      <c r="J18" s="4">
        <v>0</v>
      </c>
      <c r="K18" s="4">
        <v>0</v>
      </c>
      <c r="L18" s="4">
        <v>0</v>
      </c>
      <c r="M18" s="4">
        <v>0</v>
      </c>
      <c r="N18" s="4">
        <v>0</v>
      </c>
      <c r="O18" s="4">
        <v>0</v>
      </c>
      <c r="P18" s="4">
        <v>0</v>
      </c>
    </row>
    <row r="19" spans="1:16" ht="132.75" customHeight="1" x14ac:dyDescent="0.15">
      <c r="A19" s="2" t="s">
        <v>73</v>
      </c>
      <c r="B19" s="3" t="s">
        <v>56</v>
      </c>
      <c r="C19" s="11">
        <v>5</v>
      </c>
      <c r="D19" s="3" t="s">
        <v>74</v>
      </c>
      <c r="E19" s="5" t="s">
        <v>75</v>
      </c>
      <c r="F19" s="4">
        <v>0</v>
      </c>
      <c r="G19" s="4"/>
      <c r="H19" s="4">
        <v>0</v>
      </c>
      <c r="I19" s="4">
        <v>0</v>
      </c>
      <c r="J19" s="4">
        <v>0</v>
      </c>
      <c r="K19" s="4">
        <v>0</v>
      </c>
      <c r="L19" s="4">
        <v>0</v>
      </c>
      <c r="M19" s="4">
        <v>0</v>
      </c>
      <c r="N19" s="4">
        <v>0</v>
      </c>
      <c r="O19" s="4">
        <v>0</v>
      </c>
      <c r="P19" s="4">
        <v>0</v>
      </c>
    </row>
    <row r="20" spans="1:16" ht="19.5" customHeight="1" x14ac:dyDescent="0.15">
      <c r="A20" s="2" t="s">
        <v>76</v>
      </c>
      <c r="B20" s="3" t="s">
        <v>77</v>
      </c>
      <c r="C20" s="11">
        <v>5</v>
      </c>
      <c r="D20" s="3" t="s">
        <v>78</v>
      </c>
      <c r="E20" s="3" t="s">
        <v>79</v>
      </c>
      <c r="F20" s="4">
        <v>0</v>
      </c>
      <c r="G20" s="4"/>
      <c r="H20" s="4">
        <v>0</v>
      </c>
      <c r="I20" s="4">
        <v>0</v>
      </c>
      <c r="J20" s="4">
        <v>0</v>
      </c>
      <c r="K20" s="4">
        <v>0</v>
      </c>
      <c r="L20" s="4">
        <v>0</v>
      </c>
      <c r="M20" s="4">
        <v>0</v>
      </c>
      <c r="N20" s="4">
        <v>0</v>
      </c>
      <c r="O20" s="4">
        <v>0</v>
      </c>
      <c r="P20" s="4">
        <v>0</v>
      </c>
    </row>
    <row r="21" spans="1:16" ht="19.5" customHeight="1" x14ac:dyDescent="0.15">
      <c r="A21" s="2" t="s">
        <v>80</v>
      </c>
      <c r="B21" s="3" t="s">
        <v>70</v>
      </c>
      <c r="C21" s="11">
        <v>4</v>
      </c>
      <c r="D21" s="3" t="s">
        <v>81</v>
      </c>
      <c r="E21" s="3" t="s">
        <v>82</v>
      </c>
      <c r="F21" s="4">
        <v>0</v>
      </c>
      <c r="G21" s="4"/>
      <c r="H21" s="4">
        <v>0</v>
      </c>
      <c r="I21" s="4">
        <v>0</v>
      </c>
      <c r="J21" s="4">
        <v>0</v>
      </c>
      <c r="K21" s="4">
        <v>0</v>
      </c>
      <c r="L21" s="4">
        <v>0</v>
      </c>
      <c r="M21" s="4">
        <v>0</v>
      </c>
      <c r="N21" s="4">
        <v>0</v>
      </c>
      <c r="O21" s="4">
        <v>0</v>
      </c>
      <c r="P21" s="4">
        <v>0</v>
      </c>
    </row>
    <row r="22" spans="1:16" ht="19.5" customHeight="1" x14ac:dyDescent="0.15">
      <c r="A22" s="2" t="s">
        <v>83</v>
      </c>
      <c r="B22" s="3" t="s">
        <v>84</v>
      </c>
      <c r="C22" s="11">
        <v>5</v>
      </c>
      <c r="D22" s="3" t="s">
        <v>85</v>
      </c>
      <c r="E22" s="3" t="s">
        <v>86</v>
      </c>
      <c r="F22" s="4">
        <v>0</v>
      </c>
      <c r="G22" s="4"/>
      <c r="H22" s="4">
        <v>0</v>
      </c>
      <c r="I22" s="4">
        <v>0</v>
      </c>
      <c r="J22" s="4">
        <v>0</v>
      </c>
      <c r="K22" s="4">
        <v>0</v>
      </c>
      <c r="L22" s="4">
        <v>0</v>
      </c>
      <c r="M22" s="4">
        <v>0</v>
      </c>
      <c r="N22" s="4">
        <v>0</v>
      </c>
      <c r="O22" s="4">
        <v>0</v>
      </c>
      <c r="P22" s="4">
        <v>0</v>
      </c>
    </row>
    <row r="23" spans="1:16" ht="19.5" customHeight="1" x14ac:dyDescent="0.15">
      <c r="A23" s="2" t="s">
        <v>87</v>
      </c>
      <c r="B23" s="3" t="s">
        <v>88</v>
      </c>
      <c r="C23" s="11">
        <v>1</v>
      </c>
      <c r="D23" s="3" t="s">
        <v>89</v>
      </c>
      <c r="E23" s="3" t="s">
        <v>90</v>
      </c>
      <c r="F23" s="4">
        <v>0</v>
      </c>
      <c r="G23" s="4"/>
      <c r="H23" s="4">
        <v>0</v>
      </c>
      <c r="I23" s="4">
        <v>0</v>
      </c>
      <c r="J23" s="4">
        <v>0</v>
      </c>
      <c r="K23" s="4">
        <v>0</v>
      </c>
      <c r="L23" s="4">
        <v>0</v>
      </c>
      <c r="M23" s="4">
        <v>0</v>
      </c>
      <c r="N23" s="4">
        <v>1</v>
      </c>
      <c r="O23" s="4">
        <v>0</v>
      </c>
      <c r="P23" s="4">
        <v>0</v>
      </c>
    </row>
    <row r="24" spans="1:16" ht="19.5" customHeight="1" x14ac:dyDescent="0.15">
      <c r="A24" s="2" t="s">
        <v>91</v>
      </c>
      <c r="B24" s="3" t="s">
        <v>77</v>
      </c>
      <c r="C24" s="11">
        <v>5</v>
      </c>
      <c r="D24" s="3" t="s">
        <v>92</v>
      </c>
      <c r="E24" s="3" t="s">
        <v>93</v>
      </c>
      <c r="F24" s="4">
        <v>0</v>
      </c>
      <c r="G24" s="4"/>
      <c r="H24" s="4">
        <v>0</v>
      </c>
      <c r="I24" s="4">
        <v>0</v>
      </c>
      <c r="J24" s="4">
        <v>0</v>
      </c>
      <c r="K24" s="4">
        <v>0</v>
      </c>
      <c r="L24" s="4">
        <v>0</v>
      </c>
      <c r="M24" s="4">
        <v>0</v>
      </c>
      <c r="N24" s="4">
        <v>0</v>
      </c>
      <c r="O24" s="4">
        <v>0</v>
      </c>
      <c r="P24" s="4">
        <v>0</v>
      </c>
    </row>
    <row r="25" spans="1:16" ht="19.5" customHeight="1" x14ac:dyDescent="0.15">
      <c r="A25" s="2" t="s">
        <v>94</v>
      </c>
      <c r="B25" s="3" t="s">
        <v>95</v>
      </c>
      <c r="C25" s="11">
        <v>1</v>
      </c>
      <c r="D25" s="3" t="s">
        <v>96</v>
      </c>
      <c r="E25" s="3" t="s">
        <v>97</v>
      </c>
      <c r="F25" s="4">
        <v>1</v>
      </c>
      <c r="G25" s="4"/>
      <c r="H25" s="4">
        <v>0</v>
      </c>
      <c r="I25" s="4">
        <v>0</v>
      </c>
      <c r="J25" s="4">
        <v>0</v>
      </c>
      <c r="K25" s="4">
        <v>0</v>
      </c>
      <c r="L25" s="4">
        <v>0</v>
      </c>
      <c r="M25" s="4">
        <v>0</v>
      </c>
      <c r="N25" s="4">
        <v>0</v>
      </c>
      <c r="O25" s="4">
        <v>0</v>
      </c>
      <c r="P25" s="4">
        <v>0</v>
      </c>
    </row>
    <row r="26" spans="1:16" ht="43.5" customHeight="1" x14ac:dyDescent="0.15">
      <c r="A26" s="2" t="s">
        <v>98</v>
      </c>
      <c r="B26" s="3" t="s">
        <v>45</v>
      </c>
      <c r="C26" s="11">
        <v>5</v>
      </c>
      <c r="D26" s="3" t="s">
        <v>99</v>
      </c>
      <c r="E26" s="5" t="s">
        <v>100</v>
      </c>
      <c r="F26" s="4">
        <v>0</v>
      </c>
      <c r="G26" s="4"/>
      <c r="H26" s="4">
        <v>0</v>
      </c>
      <c r="I26" s="4">
        <v>0</v>
      </c>
      <c r="J26" s="4">
        <v>0</v>
      </c>
      <c r="K26" s="4">
        <v>0</v>
      </c>
      <c r="L26" s="4">
        <v>1</v>
      </c>
      <c r="M26" s="4">
        <v>0</v>
      </c>
      <c r="N26" s="4">
        <v>0</v>
      </c>
      <c r="O26" s="4">
        <v>0</v>
      </c>
      <c r="P26" s="4">
        <v>0</v>
      </c>
    </row>
    <row r="27" spans="1:16" ht="19.5" customHeight="1" x14ac:dyDescent="0.15">
      <c r="A27" s="2" t="s">
        <v>101</v>
      </c>
      <c r="B27" s="3" t="s">
        <v>56</v>
      </c>
      <c r="C27" s="11">
        <v>5</v>
      </c>
      <c r="D27" s="3" t="s">
        <v>102</v>
      </c>
      <c r="E27" s="3" t="s">
        <v>103</v>
      </c>
      <c r="F27" s="4">
        <v>0</v>
      </c>
      <c r="G27" s="4"/>
      <c r="H27" s="4">
        <v>0</v>
      </c>
      <c r="I27" s="4">
        <v>0</v>
      </c>
      <c r="J27" s="4">
        <v>0</v>
      </c>
      <c r="K27" s="4">
        <v>0</v>
      </c>
      <c r="L27" s="4">
        <v>0</v>
      </c>
      <c r="M27" s="4">
        <v>0</v>
      </c>
      <c r="N27" s="4">
        <v>0</v>
      </c>
      <c r="O27" s="4">
        <v>0</v>
      </c>
      <c r="P27" s="4">
        <v>0</v>
      </c>
    </row>
    <row r="28" spans="1:16" ht="36.75" customHeight="1" x14ac:dyDescent="0.15">
      <c r="A28" s="2" t="s">
        <v>104</v>
      </c>
      <c r="B28" s="3" t="s">
        <v>105</v>
      </c>
      <c r="C28" s="11">
        <v>5</v>
      </c>
      <c r="D28" s="3" t="s">
        <v>106</v>
      </c>
      <c r="E28" s="5" t="s">
        <v>107</v>
      </c>
      <c r="F28" s="4">
        <v>0</v>
      </c>
      <c r="G28" s="4"/>
      <c r="H28" s="4">
        <v>0</v>
      </c>
      <c r="I28" s="4">
        <v>0</v>
      </c>
      <c r="J28" s="4">
        <v>0</v>
      </c>
      <c r="K28" s="4">
        <v>0</v>
      </c>
      <c r="L28" s="4">
        <v>0</v>
      </c>
      <c r="M28" s="4">
        <v>0</v>
      </c>
      <c r="N28" s="4">
        <v>0</v>
      </c>
      <c r="O28" s="4">
        <v>0</v>
      </c>
      <c r="P28" s="4">
        <v>0</v>
      </c>
    </row>
    <row r="29" spans="1:16" ht="19.5" customHeight="1" x14ac:dyDescent="0.15">
      <c r="A29" s="2" t="s">
        <v>108</v>
      </c>
      <c r="B29" s="3" t="s">
        <v>109</v>
      </c>
      <c r="C29" s="11">
        <v>5</v>
      </c>
      <c r="D29" s="3" t="s">
        <v>110</v>
      </c>
      <c r="E29" s="3" t="s">
        <v>111</v>
      </c>
      <c r="F29" s="4">
        <v>0</v>
      </c>
      <c r="G29" s="4"/>
      <c r="H29" s="4">
        <v>0</v>
      </c>
      <c r="I29" s="4">
        <v>0</v>
      </c>
      <c r="J29" s="4">
        <v>0</v>
      </c>
      <c r="K29" s="4">
        <v>0</v>
      </c>
      <c r="L29" s="4">
        <v>0</v>
      </c>
      <c r="M29" s="4">
        <v>0</v>
      </c>
      <c r="N29" s="4">
        <v>0</v>
      </c>
      <c r="O29" s="4">
        <v>0</v>
      </c>
      <c r="P29" s="4">
        <v>0</v>
      </c>
    </row>
    <row r="30" spans="1:16" ht="19.5" customHeight="1" x14ac:dyDescent="0.15">
      <c r="A30" s="2" t="s">
        <v>112</v>
      </c>
      <c r="B30" s="3" t="s">
        <v>37</v>
      </c>
      <c r="C30" s="11">
        <v>5</v>
      </c>
      <c r="D30" s="3" t="s">
        <v>113</v>
      </c>
      <c r="E30" s="3" t="s">
        <v>114</v>
      </c>
      <c r="F30" s="4">
        <v>0</v>
      </c>
      <c r="G30" s="4"/>
      <c r="H30" s="4">
        <v>0</v>
      </c>
      <c r="I30" s="4">
        <v>0</v>
      </c>
      <c r="J30" s="4">
        <v>0</v>
      </c>
      <c r="K30" s="4">
        <v>0</v>
      </c>
      <c r="L30" s="4">
        <v>0</v>
      </c>
      <c r="M30" s="4">
        <v>0</v>
      </c>
      <c r="N30" s="4">
        <v>0</v>
      </c>
      <c r="O30" s="4">
        <v>0</v>
      </c>
      <c r="P30" s="4">
        <v>0</v>
      </c>
    </row>
    <row r="31" spans="1:16" ht="19.5" customHeight="1" x14ac:dyDescent="0.15">
      <c r="A31" s="2" t="s">
        <v>115</v>
      </c>
      <c r="B31" s="3" t="s">
        <v>105</v>
      </c>
      <c r="C31" s="11">
        <v>2</v>
      </c>
      <c r="D31" s="3" t="s">
        <v>116</v>
      </c>
      <c r="E31" s="3" t="s">
        <v>117</v>
      </c>
      <c r="F31" s="4">
        <v>0</v>
      </c>
      <c r="G31" s="4"/>
      <c r="H31" s="4">
        <v>0</v>
      </c>
      <c r="I31" s="4">
        <v>0</v>
      </c>
      <c r="J31" s="4">
        <v>0</v>
      </c>
      <c r="K31" s="4">
        <v>0</v>
      </c>
      <c r="L31" s="4">
        <v>0</v>
      </c>
      <c r="M31" s="4">
        <v>0</v>
      </c>
      <c r="N31" s="4">
        <v>0</v>
      </c>
      <c r="O31" s="4">
        <v>0</v>
      </c>
      <c r="P31" s="4">
        <v>0</v>
      </c>
    </row>
    <row r="32" spans="1:16" ht="19.5" customHeight="1" x14ac:dyDescent="0.15">
      <c r="A32" s="2" t="s">
        <v>118</v>
      </c>
      <c r="B32" s="3" t="s">
        <v>119</v>
      </c>
      <c r="C32" s="11">
        <v>1</v>
      </c>
      <c r="D32" s="3" t="s">
        <v>120</v>
      </c>
      <c r="E32" s="3" t="s">
        <v>121</v>
      </c>
      <c r="F32" s="4">
        <v>0</v>
      </c>
      <c r="G32" s="4"/>
      <c r="H32" s="4">
        <v>0</v>
      </c>
      <c r="I32" s="4">
        <v>0</v>
      </c>
      <c r="J32" s="4">
        <v>0</v>
      </c>
      <c r="K32" s="4">
        <v>1</v>
      </c>
      <c r="L32" s="4">
        <v>0</v>
      </c>
      <c r="M32" s="4">
        <v>0</v>
      </c>
      <c r="N32" s="4">
        <v>0</v>
      </c>
      <c r="O32" s="4">
        <v>0</v>
      </c>
      <c r="P32" s="4">
        <v>0</v>
      </c>
    </row>
    <row r="33" spans="1:16" ht="19.5" customHeight="1" x14ac:dyDescent="0.15">
      <c r="A33" s="2" t="s">
        <v>122</v>
      </c>
      <c r="B33" s="3" t="s">
        <v>63</v>
      </c>
      <c r="C33" s="11">
        <v>1</v>
      </c>
      <c r="D33" s="3" t="s">
        <v>123</v>
      </c>
      <c r="E33" s="3" t="s">
        <v>124</v>
      </c>
      <c r="F33" s="4">
        <v>1</v>
      </c>
      <c r="G33" s="4"/>
      <c r="H33" s="4">
        <v>0</v>
      </c>
      <c r="I33" s="4">
        <v>0</v>
      </c>
      <c r="J33" s="4">
        <v>0</v>
      </c>
      <c r="K33" s="4">
        <v>0</v>
      </c>
      <c r="L33" s="4">
        <v>0</v>
      </c>
      <c r="M33" s="4">
        <v>0</v>
      </c>
      <c r="N33" s="4">
        <v>0</v>
      </c>
      <c r="O33" s="4">
        <v>0</v>
      </c>
      <c r="P33" s="4">
        <v>0</v>
      </c>
    </row>
    <row r="34" spans="1:16" ht="19.5" customHeight="1" x14ac:dyDescent="0.15">
      <c r="A34" s="2" t="s">
        <v>125</v>
      </c>
      <c r="B34" s="3" t="s">
        <v>105</v>
      </c>
      <c r="C34" s="11">
        <v>1</v>
      </c>
      <c r="D34" s="3" t="s">
        <v>126</v>
      </c>
      <c r="E34" s="3" t="s">
        <v>127</v>
      </c>
      <c r="F34" s="4">
        <v>0</v>
      </c>
      <c r="G34" s="4"/>
      <c r="H34" s="4">
        <v>0</v>
      </c>
      <c r="I34" s="4">
        <v>1</v>
      </c>
      <c r="J34" s="4">
        <v>0</v>
      </c>
      <c r="K34" s="4">
        <v>1</v>
      </c>
      <c r="L34" s="4">
        <v>0</v>
      </c>
      <c r="M34" s="4">
        <v>0</v>
      </c>
      <c r="N34" s="4">
        <v>0</v>
      </c>
      <c r="O34" s="4">
        <v>1</v>
      </c>
      <c r="P34" s="4">
        <v>0</v>
      </c>
    </row>
    <row r="35" spans="1:16" ht="31.5" customHeight="1" x14ac:dyDescent="0.15">
      <c r="A35" s="2" t="s">
        <v>128</v>
      </c>
      <c r="B35" s="3" t="s">
        <v>52</v>
      </c>
      <c r="C35" s="11">
        <v>5</v>
      </c>
      <c r="D35" s="3" t="s">
        <v>129</v>
      </c>
      <c r="E35" s="5" t="s">
        <v>130</v>
      </c>
      <c r="F35" s="4">
        <v>0</v>
      </c>
      <c r="G35" s="4"/>
      <c r="H35" s="4">
        <v>0</v>
      </c>
      <c r="I35" s="4">
        <v>0</v>
      </c>
      <c r="J35" s="4">
        <v>0</v>
      </c>
      <c r="K35" s="4">
        <v>0</v>
      </c>
      <c r="L35" s="4">
        <v>0</v>
      </c>
      <c r="M35" s="4">
        <v>0</v>
      </c>
      <c r="N35" s="4">
        <v>0</v>
      </c>
      <c r="O35" s="4">
        <v>0</v>
      </c>
      <c r="P35" s="4">
        <v>0</v>
      </c>
    </row>
    <row r="36" spans="1:16" ht="31.5" customHeight="1" x14ac:dyDescent="0.15">
      <c r="A36" s="2" t="s">
        <v>131</v>
      </c>
      <c r="B36" s="3" t="s">
        <v>132</v>
      </c>
      <c r="C36" s="11">
        <v>1</v>
      </c>
      <c r="D36" s="3" t="s">
        <v>133</v>
      </c>
      <c r="E36" s="5" t="s">
        <v>134</v>
      </c>
      <c r="F36" s="4">
        <v>0</v>
      </c>
      <c r="G36" s="4"/>
      <c r="H36" s="4">
        <v>0</v>
      </c>
      <c r="I36" s="4">
        <v>1</v>
      </c>
      <c r="J36" s="4">
        <v>0</v>
      </c>
      <c r="K36" s="4">
        <v>0</v>
      </c>
      <c r="L36" s="4">
        <v>0</v>
      </c>
      <c r="M36" s="4">
        <v>0</v>
      </c>
      <c r="N36" s="4">
        <v>0</v>
      </c>
      <c r="O36" s="4">
        <v>0</v>
      </c>
      <c r="P36" s="4">
        <v>0</v>
      </c>
    </row>
    <row r="37" spans="1:16" ht="19.5" customHeight="1" x14ac:dyDescent="0.15">
      <c r="A37" s="2" t="s">
        <v>135</v>
      </c>
      <c r="B37" s="3" t="s">
        <v>88</v>
      </c>
      <c r="C37" s="11">
        <v>1</v>
      </c>
      <c r="D37" s="3" t="s">
        <v>136</v>
      </c>
      <c r="E37" s="3" t="s">
        <v>137</v>
      </c>
      <c r="F37" s="4">
        <v>1</v>
      </c>
      <c r="G37" s="4"/>
      <c r="H37" s="4">
        <v>0</v>
      </c>
      <c r="I37" s="4">
        <v>0</v>
      </c>
      <c r="J37" s="4">
        <v>0</v>
      </c>
      <c r="K37" s="4">
        <v>0</v>
      </c>
      <c r="L37" s="4">
        <v>0</v>
      </c>
      <c r="M37" s="4">
        <v>0</v>
      </c>
      <c r="N37" s="4">
        <v>0</v>
      </c>
      <c r="O37" s="4">
        <v>0</v>
      </c>
      <c r="P37" s="4">
        <v>0</v>
      </c>
    </row>
    <row r="38" spans="1:16" ht="19.5" customHeight="1" x14ac:dyDescent="0.15">
      <c r="A38" s="2" t="s">
        <v>138</v>
      </c>
      <c r="B38" s="3" t="s">
        <v>37</v>
      </c>
      <c r="C38" s="11">
        <v>5</v>
      </c>
      <c r="D38" s="3" t="s">
        <v>139</v>
      </c>
      <c r="E38" s="3" t="s">
        <v>140</v>
      </c>
      <c r="F38" s="4">
        <v>0</v>
      </c>
      <c r="G38" s="4"/>
      <c r="H38" s="4">
        <v>0</v>
      </c>
      <c r="I38" s="4">
        <v>0</v>
      </c>
      <c r="J38" s="4">
        <v>0</v>
      </c>
      <c r="K38" s="4">
        <v>0</v>
      </c>
      <c r="L38" s="4">
        <v>0</v>
      </c>
      <c r="M38" s="4">
        <v>0</v>
      </c>
      <c r="N38" s="4">
        <v>0</v>
      </c>
      <c r="O38" s="4">
        <v>0</v>
      </c>
      <c r="P38" s="4">
        <v>0</v>
      </c>
    </row>
    <row r="39" spans="1:16" ht="19.5" customHeight="1" x14ac:dyDescent="0.15">
      <c r="A39" s="2" t="s">
        <v>141</v>
      </c>
      <c r="B39" s="3" t="s">
        <v>70</v>
      </c>
      <c r="C39" s="11">
        <v>3</v>
      </c>
      <c r="D39" s="3" t="s">
        <v>142</v>
      </c>
      <c r="E39" s="3" t="s">
        <v>143</v>
      </c>
      <c r="F39" s="4">
        <v>0</v>
      </c>
      <c r="G39" s="4"/>
      <c r="H39" s="4">
        <v>1</v>
      </c>
      <c r="I39" s="4">
        <v>0</v>
      </c>
      <c r="J39" s="4">
        <v>0</v>
      </c>
      <c r="K39" s="4">
        <v>0</v>
      </c>
      <c r="L39" s="4">
        <v>1</v>
      </c>
      <c r="M39" s="4">
        <v>0</v>
      </c>
      <c r="N39" s="4">
        <v>0</v>
      </c>
      <c r="O39" s="4">
        <v>0</v>
      </c>
      <c r="P39" s="4">
        <v>0</v>
      </c>
    </row>
    <row r="40" spans="1:16" ht="43.5" customHeight="1" x14ac:dyDescent="0.15">
      <c r="A40" s="2" t="s">
        <v>144</v>
      </c>
      <c r="B40" s="3" t="s">
        <v>33</v>
      </c>
      <c r="C40" s="11">
        <v>1</v>
      </c>
      <c r="D40" s="3" t="s">
        <v>145</v>
      </c>
      <c r="E40" s="5" t="s">
        <v>146</v>
      </c>
      <c r="F40" s="4">
        <v>0</v>
      </c>
      <c r="G40" s="4"/>
      <c r="H40" s="4">
        <v>0</v>
      </c>
      <c r="I40" s="4">
        <v>0</v>
      </c>
      <c r="J40" s="4">
        <v>1</v>
      </c>
      <c r="K40" s="4">
        <v>0</v>
      </c>
      <c r="L40" s="4">
        <v>0</v>
      </c>
      <c r="M40" s="4">
        <v>0</v>
      </c>
      <c r="N40" s="4">
        <v>0</v>
      </c>
      <c r="O40" s="4">
        <v>0</v>
      </c>
      <c r="P40" s="4">
        <v>0</v>
      </c>
    </row>
    <row r="41" spans="1:16" ht="19.5" customHeight="1" x14ac:dyDescent="0.15">
      <c r="A41" s="2" t="s">
        <v>147</v>
      </c>
      <c r="B41" s="3" t="s">
        <v>148</v>
      </c>
      <c r="C41" s="11">
        <v>1</v>
      </c>
      <c r="D41" s="3" t="s">
        <v>149</v>
      </c>
      <c r="E41" s="3" t="s">
        <v>150</v>
      </c>
      <c r="F41" s="4">
        <v>1</v>
      </c>
      <c r="G41" s="4"/>
      <c r="H41" s="4">
        <v>0</v>
      </c>
      <c r="I41" s="4">
        <v>0</v>
      </c>
      <c r="J41" s="4">
        <v>0</v>
      </c>
      <c r="K41" s="4">
        <v>0</v>
      </c>
      <c r="L41" s="4">
        <v>0</v>
      </c>
      <c r="M41" s="4">
        <v>0</v>
      </c>
      <c r="N41" s="4">
        <v>0</v>
      </c>
      <c r="O41" s="4">
        <v>0</v>
      </c>
      <c r="P41" s="4">
        <v>0</v>
      </c>
    </row>
    <row r="42" spans="1:16" ht="19.5" customHeight="1" x14ac:dyDescent="0.15">
      <c r="A42" s="2" t="s">
        <v>151</v>
      </c>
      <c r="B42" s="3" t="s">
        <v>41</v>
      </c>
      <c r="C42" s="11">
        <v>1</v>
      </c>
      <c r="D42" s="3" t="s">
        <v>152</v>
      </c>
      <c r="E42" s="3" t="s">
        <v>153</v>
      </c>
      <c r="F42" s="4">
        <v>1</v>
      </c>
      <c r="G42" s="4"/>
      <c r="H42" s="4">
        <v>0</v>
      </c>
      <c r="I42" s="4">
        <v>0</v>
      </c>
      <c r="J42" s="4">
        <v>0</v>
      </c>
      <c r="K42" s="4">
        <v>0</v>
      </c>
      <c r="L42" s="4">
        <v>0</v>
      </c>
      <c r="M42" s="4">
        <v>0</v>
      </c>
      <c r="N42" s="4">
        <v>0</v>
      </c>
      <c r="O42" s="4">
        <v>0</v>
      </c>
      <c r="P42" s="4">
        <v>0</v>
      </c>
    </row>
    <row r="43" spans="1:16" ht="19.5" customHeight="1" x14ac:dyDescent="0.15">
      <c r="A43" s="2" t="s">
        <v>154</v>
      </c>
      <c r="B43" s="3" t="s">
        <v>84</v>
      </c>
      <c r="C43" s="11">
        <v>5</v>
      </c>
      <c r="D43" s="3" t="s">
        <v>155</v>
      </c>
      <c r="E43" s="3" t="s">
        <v>156</v>
      </c>
      <c r="F43" s="4">
        <v>0</v>
      </c>
      <c r="G43" s="4"/>
      <c r="H43" s="4">
        <v>0</v>
      </c>
      <c r="I43" s="4">
        <v>0</v>
      </c>
      <c r="J43" s="4">
        <v>0</v>
      </c>
      <c r="K43" s="4">
        <v>0</v>
      </c>
      <c r="L43" s="4">
        <v>0</v>
      </c>
      <c r="M43" s="4">
        <v>0</v>
      </c>
      <c r="N43" s="4">
        <v>0</v>
      </c>
      <c r="O43" s="4">
        <v>0</v>
      </c>
      <c r="P43" s="4">
        <v>0</v>
      </c>
    </row>
    <row r="44" spans="1:16" ht="19.5" customHeight="1" x14ac:dyDescent="0.15">
      <c r="A44" s="2" t="s">
        <v>157</v>
      </c>
      <c r="B44" s="3" t="s">
        <v>132</v>
      </c>
      <c r="C44" s="11">
        <v>5</v>
      </c>
      <c r="D44" s="3" t="s">
        <v>158</v>
      </c>
      <c r="E44" s="3" t="s">
        <v>159</v>
      </c>
      <c r="F44" s="4">
        <v>0</v>
      </c>
      <c r="G44" s="4"/>
      <c r="H44" s="4">
        <v>0</v>
      </c>
      <c r="I44" s="4">
        <v>0</v>
      </c>
      <c r="J44" s="4">
        <v>0</v>
      </c>
      <c r="K44" s="4">
        <v>0</v>
      </c>
      <c r="L44" s="4">
        <v>0</v>
      </c>
      <c r="M44" s="4">
        <v>0</v>
      </c>
      <c r="N44" s="4">
        <v>0</v>
      </c>
      <c r="O44" s="4">
        <v>0</v>
      </c>
      <c r="P44" s="4">
        <v>0</v>
      </c>
    </row>
    <row r="45" spans="1:16" ht="19.5" customHeight="1" x14ac:dyDescent="0.15">
      <c r="A45" s="2" t="s">
        <v>160</v>
      </c>
      <c r="B45" s="3" t="s">
        <v>161</v>
      </c>
      <c r="C45" s="11">
        <v>5</v>
      </c>
      <c r="D45" s="3" t="s">
        <v>162</v>
      </c>
      <c r="E45" s="3" t="s">
        <v>163</v>
      </c>
      <c r="F45" s="4">
        <v>0</v>
      </c>
      <c r="G45" s="4"/>
      <c r="H45" s="4">
        <v>0</v>
      </c>
      <c r="I45" s="4">
        <v>0</v>
      </c>
      <c r="J45" s="4">
        <v>0</v>
      </c>
      <c r="K45" s="4">
        <v>0</v>
      </c>
      <c r="L45" s="4">
        <v>0</v>
      </c>
      <c r="M45" s="4">
        <v>0</v>
      </c>
      <c r="N45" s="4">
        <v>0</v>
      </c>
      <c r="O45" s="4">
        <v>0</v>
      </c>
      <c r="P45" s="4">
        <v>0</v>
      </c>
    </row>
    <row r="46" spans="1:16" ht="19.5" customHeight="1" x14ac:dyDescent="0.15">
      <c r="A46" s="2" t="s">
        <v>164</v>
      </c>
      <c r="B46" s="3" t="s">
        <v>119</v>
      </c>
      <c r="C46" s="11">
        <v>1</v>
      </c>
      <c r="D46" s="3" t="s">
        <v>165</v>
      </c>
      <c r="E46" s="3" t="s">
        <v>166</v>
      </c>
      <c r="F46" s="4">
        <v>1</v>
      </c>
      <c r="G46" s="4"/>
      <c r="H46" s="4">
        <v>1</v>
      </c>
      <c r="I46" s="4">
        <v>0</v>
      </c>
      <c r="J46" s="4">
        <v>0</v>
      </c>
      <c r="K46" s="4">
        <v>0</v>
      </c>
      <c r="L46" s="4">
        <v>0</v>
      </c>
      <c r="M46" s="4">
        <v>0</v>
      </c>
      <c r="N46" s="4">
        <v>0</v>
      </c>
      <c r="O46" s="4">
        <v>0</v>
      </c>
      <c r="P46" s="4">
        <v>0</v>
      </c>
    </row>
    <row r="47" spans="1:16" ht="19.5" customHeight="1" x14ac:dyDescent="0.15">
      <c r="A47" s="2" t="s">
        <v>167</v>
      </c>
      <c r="B47" s="3" t="s">
        <v>109</v>
      </c>
      <c r="C47" s="11">
        <v>1</v>
      </c>
      <c r="D47" s="3" t="s">
        <v>168</v>
      </c>
      <c r="E47" s="3" t="s">
        <v>169</v>
      </c>
      <c r="F47" s="4">
        <v>0</v>
      </c>
      <c r="G47" s="4"/>
      <c r="H47" s="4">
        <v>1</v>
      </c>
      <c r="I47" s="4">
        <v>0</v>
      </c>
      <c r="J47" s="4">
        <v>1</v>
      </c>
      <c r="K47" s="4">
        <v>1</v>
      </c>
      <c r="L47" s="4">
        <v>0</v>
      </c>
      <c r="M47" s="4">
        <v>0</v>
      </c>
      <c r="N47" s="4">
        <v>0</v>
      </c>
      <c r="O47" s="4">
        <v>0</v>
      </c>
      <c r="P47" s="4">
        <v>1</v>
      </c>
    </row>
    <row r="48" spans="1:16" ht="19.5" customHeight="1" x14ac:dyDescent="0.15">
      <c r="A48" s="2" t="s">
        <v>170</v>
      </c>
      <c r="B48" s="3" t="s">
        <v>56</v>
      </c>
      <c r="C48" s="11">
        <v>5</v>
      </c>
      <c r="D48" s="3" t="s">
        <v>171</v>
      </c>
      <c r="E48" s="3" t="s">
        <v>172</v>
      </c>
      <c r="F48" s="4">
        <v>0</v>
      </c>
      <c r="G48" s="4"/>
      <c r="H48" s="4">
        <v>0</v>
      </c>
      <c r="I48" s="4">
        <v>0</v>
      </c>
      <c r="J48" s="4">
        <v>0</v>
      </c>
      <c r="K48" s="4">
        <v>0</v>
      </c>
      <c r="L48" s="4">
        <v>0</v>
      </c>
      <c r="M48" s="4">
        <v>0</v>
      </c>
      <c r="N48" s="4">
        <v>0</v>
      </c>
      <c r="O48" s="4">
        <v>0</v>
      </c>
      <c r="P48" s="4">
        <v>0</v>
      </c>
    </row>
    <row r="49" spans="1:16" ht="19.5" customHeight="1" x14ac:dyDescent="0.15">
      <c r="A49" s="2" t="s">
        <v>173</v>
      </c>
      <c r="B49" s="3" t="s">
        <v>56</v>
      </c>
      <c r="C49" s="11">
        <v>5</v>
      </c>
      <c r="D49" s="3" t="s">
        <v>174</v>
      </c>
      <c r="E49" s="3" t="s">
        <v>175</v>
      </c>
      <c r="F49" s="4">
        <v>0</v>
      </c>
      <c r="G49" s="4"/>
      <c r="H49" s="4">
        <v>0</v>
      </c>
      <c r="I49" s="4">
        <v>0</v>
      </c>
      <c r="J49" s="4">
        <v>0</v>
      </c>
      <c r="K49" s="4">
        <v>0</v>
      </c>
      <c r="L49" s="4">
        <v>0</v>
      </c>
      <c r="M49" s="4">
        <v>0</v>
      </c>
      <c r="N49" s="4">
        <v>0</v>
      </c>
      <c r="O49" s="4">
        <v>0</v>
      </c>
      <c r="P49" s="4">
        <v>0</v>
      </c>
    </row>
    <row r="50" spans="1:16" ht="19.5" customHeight="1" x14ac:dyDescent="0.15">
      <c r="A50" s="2" t="s">
        <v>176</v>
      </c>
      <c r="B50" s="3" t="s">
        <v>37</v>
      </c>
      <c r="C50" s="11">
        <v>5</v>
      </c>
      <c r="D50" s="3" t="s">
        <v>177</v>
      </c>
      <c r="E50" s="3" t="s">
        <v>178</v>
      </c>
      <c r="F50" s="4">
        <v>0</v>
      </c>
      <c r="G50" s="4"/>
      <c r="H50" s="4">
        <v>0</v>
      </c>
      <c r="I50" s="4">
        <v>0</v>
      </c>
      <c r="J50" s="4">
        <v>0</v>
      </c>
      <c r="K50" s="4">
        <v>0</v>
      </c>
      <c r="L50" s="4">
        <v>0</v>
      </c>
      <c r="M50" s="4">
        <v>0</v>
      </c>
      <c r="N50" s="4">
        <v>0</v>
      </c>
      <c r="O50" s="4">
        <v>0</v>
      </c>
      <c r="P50" s="4">
        <v>0</v>
      </c>
    </row>
    <row r="51" spans="1:16" ht="19.5" customHeight="1" x14ac:dyDescent="0.15">
      <c r="A51" s="2" t="s">
        <v>179</v>
      </c>
      <c r="B51" s="3" t="s">
        <v>14</v>
      </c>
      <c r="C51" s="11">
        <v>5</v>
      </c>
      <c r="D51" s="3" t="s">
        <v>180</v>
      </c>
      <c r="E51" s="3" t="s">
        <v>181</v>
      </c>
      <c r="F51" s="4">
        <v>0</v>
      </c>
      <c r="G51" s="4"/>
      <c r="H51" s="4">
        <v>0</v>
      </c>
      <c r="I51" s="4">
        <v>0</v>
      </c>
      <c r="J51" s="4">
        <v>0</v>
      </c>
      <c r="K51" s="4">
        <v>0</v>
      </c>
      <c r="L51" s="4">
        <v>0</v>
      </c>
      <c r="M51" s="4">
        <v>0</v>
      </c>
      <c r="N51" s="4">
        <v>0</v>
      </c>
      <c r="O51" s="4">
        <v>0</v>
      </c>
      <c r="P51" s="4">
        <v>0</v>
      </c>
    </row>
    <row r="52" spans="1:16" ht="19.5" customHeight="1" x14ac:dyDescent="0.15">
      <c r="A52" s="2" t="s">
        <v>182</v>
      </c>
      <c r="B52" s="3" t="s">
        <v>70</v>
      </c>
      <c r="C52" s="11">
        <v>5</v>
      </c>
      <c r="D52" s="3" t="s">
        <v>183</v>
      </c>
      <c r="E52" s="3" t="s">
        <v>184</v>
      </c>
      <c r="F52" s="4">
        <v>0</v>
      </c>
      <c r="G52" s="4"/>
      <c r="H52" s="4">
        <v>0</v>
      </c>
      <c r="I52" s="4">
        <v>0</v>
      </c>
      <c r="J52" s="4">
        <v>0</v>
      </c>
      <c r="K52" s="4">
        <v>0</v>
      </c>
      <c r="L52" s="4">
        <v>0</v>
      </c>
      <c r="M52" s="4">
        <v>0</v>
      </c>
      <c r="N52" s="4">
        <v>0</v>
      </c>
      <c r="O52" s="4">
        <v>0</v>
      </c>
      <c r="P52" s="4">
        <v>0</v>
      </c>
    </row>
    <row r="53" spans="1:16" ht="19.5" customHeight="1" x14ac:dyDescent="0.15">
      <c r="A53" s="2" t="s">
        <v>185</v>
      </c>
      <c r="B53" s="3" t="s">
        <v>119</v>
      </c>
      <c r="C53" s="11">
        <v>5</v>
      </c>
      <c r="D53" s="3" t="s">
        <v>186</v>
      </c>
      <c r="E53" s="3" t="s">
        <v>187</v>
      </c>
      <c r="F53" s="4">
        <v>0</v>
      </c>
      <c r="G53" s="4"/>
      <c r="H53" s="4">
        <v>0</v>
      </c>
      <c r="I53" s="4">
        <v>0</v>
      </c>
      <c r="J53" s="4">
        <v>0</v>
      </c>
      <c r="K53" s="4">
        <v>0</v>
      </c>
      <c r="L53" s="4">
        <v>0</v>
      </c>
      <c r="M53" s="4">
        <v>0</v>
      </c>
      <c r="N53" s="4">
        <v>0</v>
      </c>
      <c r="O53" s="4">
        <v>0</v>
      </c>
      <c r="P53" s="4">
        <v>0</v>
      </c>
    </row>
    <row r="54" spans="1:16" ht="166.5" customHeight="1" x14ac:dyDescent="0.15">
      <c r="A54" s="2" t="s">
        <v>188</v>
      </c>
      <c r="B54" s="3" t="s">
        <v>77</v>
      </c>
      <c r="C54" s="11">
        <v>5</v>
      </c>
      <c r="D54" s="3" t="s">
        <v>189</v>
      </c>
      <c r="E54" s="5" t="s">
        <v>190</v>
      </c>
      <c r="F54" s="4">
        <v>0</v>
      </c>
      <c r="G54" s="4"/>
      <c r="H54" s="4">
        <v>0</v>
      </c>
      <c r="I54" s="4">
        <v>0</v>
      </c>
      <c r="J54" s="4">
        <v>0</v>
      </c>
      <c r="K54" s="4">
        <v>0</v>
      </c>
      <c r="L54" s="4">
        <v>0</v>
      </c>
      <c r="M54" s="4">
        <v>0</v>
      </c>
      <c r="N54" s="4">
        <v>0</v>
      </c>
      <c r="O54" s="4">
        <v>0</v>
      </c>
      <c r="P54" s="4">
        <v>0</v>
      </c>
    </row>
    <row r="55" spans="1:16" ht="91.5" customHeight="1" x14ac:dyDescent="0.15">
      <c r="A55" s="2" t="s">
        <v>191</v>
      </c>
      <c r="B55" s="3" t="s">
        <v>70</v>
      </c>
      <c r="C55" s="11">
        <v>5</v>
      </c>
      <c r="D55" s="3" t="s">
        <v>192</v>
      </c>
      <c r="E55" s="5" t="s">
        <v>193</v>
      </c>
      <c r="F55" s="4">
        <v>0</v>
      </c>
      <c r="G55" s="4"/>
      <c r="H55" s="4">
        <v>0</v>
      </c>
      <c r="I55" s="4">
        <v>0</v>
      </c>
      <c r="J55" s="4">
        <v>0</v>
      </c>
      <c r="K55" s="4">
        <v>0</v>
      </c>
      <c r="L55" s="4">
        <v>0</v>
      </c>
      <c r="M55" s="4">
        <v>0</v>
      </c>
      <c r="N55" s="4">
        <v>0</v>
      </c>
      <c r="O55" s="4">
        <v>0</v>
      </c>
      <c r="P55" s="4">
        <v>0</v>
      </c>
    </row>
    <row r="56" spans="1:16" ht="43.5" customHeight="1" x14ac:dyDescent="0.15">
      <c r="A56" s="2" t="s">
        <v>194</v>
      </c>
      <c r="B56" s="3" t="s">
        <v>41</v>
      </c>
      <c r="C56" s="11">
        <v>1</v>
      </c>
      <c r="D56" s="3" t="s">
        <v>195</v>
      </c>
      <c r="E56" s="5" t="s">
        <v>196</v>
      </c>
      <c r="F56" s="4">
        <v>1</v>
      </c>
      <c r="G56" s="4"/>
      <c r="H56" s="4">
        <v>0</v>
      </c>
      <c r="I56" s="4">
        <v>0</v>
      </c>
      <c r="J56" s="4">
        <v>0</v>
      </c>
      <c r="K56" s="4">
        <v>0</v>
      </c>
      <c r="L56" s="4">
        <v>1</v>
      </c>
      <c r="M56" s="4">
        <v>0</v>
      </c>
      <c r="N56" s="4">
        <v>0</v>
      </c>
      <c r="O56" s="4">
        <v>0</v>
      </c>
      <c r="P56" s="4">
        <v>0</v>
      </c>
    </row>
    <row r="57" spans="1:16" ht="19.5" customHeight="1" x14ac:dyDescent="0.15">
      <c r="A57" s="2" t="s">
        <v>197</v>
      </c>
      <c r="B57" s="3" t="s">
        <v>84</v>
      </c>
      <c r="C57" s="11">
        <v>5</v>
      </c>
      <c r="D57" s="3" t="s">
        <v>198</v>
      </c>
      <c r="E57" s="3" t="s">
        <v>199</v>
      </c>
      <c r="F57" s="4">
        <v>0</v>
      </c>
      <c r="G57" s="4"/>
      <c r="H57" s="4">
        <v>0</v>
      </c>
      <c r="I57" s="4">
        <v>0</v>
      </c>
      <c r="J57" s="4">
        <v>0</v>
      </c>
      <c r="K57" s="4">
        <v>0</v>
      </c>
      <c r="L57" s="4">
        <v>0</v>
      </c>
      <c r="M57" s="4">
        <v>0</v>
      </c>
      <c r="N57" s="4">
        <v>0</v>
      </c>
      <c r="O57" s="4">
        <v>0</v>
      </c>
      <c r="P57" s="4">
        <v>0</v>
      </c>
    </row>
    <row r="58" spans="1:16" ht="19.5" customHeight="1" x14ac:dyDescent="0.15">
      <c r="A58" s="2" t="s">
        <v>200</v>
      </c>
      <c r="B58" s="3" t="s">
        <v>14</v>
      </c>
      <c r="C58" s="11">
        <v>5</v>
      </c>
      <c r="D58" s="3" t="s">
        <v>201</v>
      </c>
      <c r="E58" s="3" t="s">
        <v>202</v>
      </c>
      <c r="F58" s="4">
        <v>0</v>
      </c>
      <c r="G58" s="4"/>
      <c r="H58" s="4">
        <v>0</v>
      </c>
      <c r="I58" s="4">
        <v>0</v>
      </c>
      <c r="J58" s="4">
        <v>0</v>
      </c>
      <c r="K58" s="4">
        <v>0</v>
      </c>
      <c r="L58" s="4">
        <v>0</v>
      </c>
      <c r="M58" s="4">
        <v>0</v>
      </c>
      <c r="N58" s="4">
        <v>0</v>
      </c>
      <c r="O58" s="4">
        <v>0</v>
      </c>
      <c r="P58" s="4">
        <v>0</v>
      </c>
    </row>
    <row r="59" spans="1:16" ht="55.5" customHeight="1" x14ac:dyDescent="0.15">
      <c r="A59" s="2" t="s">
        <v>203</v>
      </c>
      <c r="B59" s="3" t="s">
        <v>33</v>
      </c>
      <c r="C59" s="11">
        <v>1</v>
      </c>
      <c r="D59" s="3" t="s">
        <v>204</v>
      </c>
      <c r="E59" s="5" t="s">
        <v>205</v>
      </c>
      <c r="F59" s="4">
        <v>0</v>
      </c>
      <c r="G59" s="4"/>
      <c r="H59" s="4">
        <v>0</v>
      </c>
      <c r="I59" s="4">
        <v>0</v>
      </c>
      <c r="J59" s="4">
        <v>0</v>
      </c>
      <c r="K59" s="4">
        <v>0</v>
      </c>
      <c r="L59" s="4">
        <v>1</v>
      </c>
      <c r="M59" s="4">
        <v>0</v>
      </c>
      <c r="N59" s="4">
        <v>0</v>
      </c>
      <c r="O59" s="4">
        <v>1</v>
      </c>
      <c r="P59" s="4">
        <v>0</v>
      </c>
    </row>
    <row r="60" spans="1:16" ht="19.5" customHeight="1" x14ac:dyDescent="0.15">
      <c r="A60" s="2" t="s">
        <v>206</v>
      </c>
      <c r="B60" s="3" t="s">
        <v>41</v>
      </c>
      <c r="C60" s="11">
        <v>1</v>
      </c>
      <c r="D60" s="3" t="s">
        <v>207</v>
      </c>
      <c r="E60" s="3" t="s">
        <v>208</v>
      </c>
      <c r="F60" s="4">
        <v>0</v>
      </c>
      <c r="G60" s="4"/>
      <c r="H60" s="4">
        <v>0</v>
      </c>
      <c r="I60" s="4">
        <v>0</v>
      </c>
      <c r="J60" s="4">
        <v>0</v>
      </c>
      <c r="K60" s="4">
        <v>0</v>
      </c>
      <c r="L60" s="4">
        <v>0</v>
      </c>
      <c r="M60" s="4">
        <v>0</v>
      </c>
      <c r="N60" s="4">
        <v>0</v>
      </c>
      <c r="O60" s="4">
        <v>0</v>
      </c>
      <c r="P60" s="4">
        <v>0</v>
      </c>
    </row>
    <row r="61" spans="1:16" ht="19.5" customHeight="1" x14ac:dyDescent="0.15">
      <c r="A61" s="2" t="s">
        <v>209</v>
      </c>
      <c r="B61" s="3" t="s">
        <v>95</v>
      </c>
      <c r="C61" s="11">
        <v>1</v>
      </c>
      <c r="D61" s="3" t="s">
        <v>210</v>
      </c>
      <c r="E61" s="3" t="s">
        <v>211</v>
      </c>
      <c r="F61" s="4">
        <v>0</v>
      </c>
      <c r="G61" s="4"/>
      <c r="H61" s="4">
        <v>1</v>
      </c>
      <c r="I61" s="4">
        <v>1</v>
      </c>
      <c r="J61" s="4">
        <v>0</v>
      </c>
      <c r="K61" s="4">
        <v>0</v>
      </c>
      <c r="L61" s="4">
        <v>0</v>
      </c>
      <c r="M61" s="4">
        <v>0</v>
      </c>
      <c r="N61" s="4">
        <v>0</v>
      </c>
      <c r="O61" s="4">
        <v>0</v>
      </c>
      <c r="P61" s="4">
        <v>0</v>
      </c>
    </row>
    <row r="62" spans="1:16" ht="19.5" customHeight="1" x14ac:dyDescent="0.15">
      <c r="A62" s="2" t="s">
        <v>212</v>
      </c>
      <c r="B62" s="3" t="s">
        <v>109</v>
      </c>
      <c r="C62" s="11">
        <v>4</v>
      </c>
      <c r="D62" s="3" t="s">
        <v>213</v>
      </c>
      <c r="E62" s="3" t="s">
        <v>214</v>
      </c>
      <c r="F62" s="4">
        <v>0</v>
      </c>
      <c r="G62" s="4"/>
      <c r="H62" s="4">
        <v>0</v>
      </c>
      <c r="I62" s="4">
        <v>0</v>
      </c>
      <c r="J62" s="4">
        <v>0</v>
      </c>
      <c r="K62" s="4">
        <v>0</v>
      </c>
      <c r="L62" s="4">
        <v>0</v>
      </c>
      <c r="M62" s="4">
        <v>0</v>
      </c>
      <c r="N62" s="4">
        <v>0</v>
      </c>
      <c r="O62" s="4">
        <v>0</v>
      </c>
      <c r="P62" s="4">
        <v>0</v>
      </c>
    </row>
    <row r="63" spans="1:16" ht="31.5" customHeight="1" x14ac:dyDescent="0.15">
      <c r="A63" s="2" t="s">
        <v>215</v>
      </c>
      <c r="B63" s="3" t="s">
        <v>216</v>
      </c>
      <c r="C63" s="11">
        <v>5</v>
      </c>
      <c r="D63" s="3" t="s">
        <v>217</v>
      </c>
      <c r="E63" s="5" t="s">
        <v>218</v>
      </c>
      <c r="F63" s="4">
        <v>0</v>
      </c>
      <c r="G63" s="4"/>
      <c r="H63" s="4">
        <v>0</v>
      </c>
      <c r="I63" s="4">
        <v>0</v>
      </c>
      <c r="J63" s="4">
        <v>0</v>
      </c>
      <c r="K63" s="4">
        <v>0</v>
      </c>
      <c r="L63" s="4">
        <v>0</v>
      </c>
      <c r="M63" s="4">
        <v>0</v>
      </c>
      <c r="N63" s="4">
        <v>0</v>
      </c>
      <c r="O63" s="4">
        <v>0</v>
      </c>
      <c r="P63" s="4">
        <v>0</v>
      </c>
    </row>
    <row r="64" spans="1:16" ht="31.5" customHeight="1" x14ac:dyDescent="0.15">
      <c r="A64" s="2" t="s">
        <v>219</v>
      </c>
      <c r="B64" s="3" t="s">
        <v>95</v>
      </c>
      <c r="C64" s="11">
        <v>1</v>
      </c>
      <c r="D64" s="3" t="s">
        <v>220</v>
      </c>
      <c r="E64" s="5" t="s">
        <v>221</v>
      </c>
      <c r="F64" s="4">
        <v>1</v>
      </c>
      <c r="G64" s="4"/>
      <c r="H64" s="4">
        <v>0</v>
      </c>
      <c r="I64" s="4">
        <v>0</v>
      </c>
      <c r="J64" s="4">
        <v>1</v>
      </c>
      <c r="K64" s="4">
        <v>1</v>
      </c>
      <c r="L64" s="4">
        <v>1</v>
      </c>
      <c r="M64" s="4">
        <v>0</v>
      </c>
      <c r="N64" s="4">
        <v>0</v>
      </c>
      <c r="O64" s="4">
        <v>0</v>
      </c>
      <c r="P64" s="4">
        <v>1</v>
      </c>
    </row>
    <row r="65" spans="1:16" ht="43.5" customHeight="1" x14ac:dyDescent="0.15">
      <c r="A65" s="2" t="s">
        <v>222</v>
      </c>
      <c r="B65" s="3" t="s">
        <v>119</v>
      </c>
      <c r="C65" s="11">
        <v>1</v>
      </c>
      <c r="D65" s="3" t="s">
        <v>223</v>
      </c>
      <c r="E65" s="5" t="s">
        <v>224</v>
      </c>
      <c r="F65" s="4">
        <v>1</v>
      </c>
      <c r="G65" s="4"/>
      <c r="H65" s="4">
        <v>0</v>
      </c>
      <c r="I65" s="4">
        <v>0</v>
      </c>
      <c r="J65" s="4">
        <v>1</v>
      </c>
      <c r="K65" s="4">
        <v>0</v>
      </c>
      <c r="L65" s="4">
        <v>0</v>
      </c>
      <c r="M65" s="4">
        <v>0</v>
      </c>
      <c r="N65" s="4">
        <v>0</v>
      </c>
      <c r="O65" s="4">
        <v>0</v>
      </c>
      <c r="P65" s="4">
        <v>1</v>
      </c>
    </row>
    <row r="66" spans="1:16" ht="19.5" customHeight="1" x14ac:dyDescent="0.15">
      <c r="A66" s="2" t="s">
        <v>225</v>
      </c>
      <c r="B66" s="3" t="s">
        <v>148</v>
      </c>
      <c r="C66" s="11">
        <v>1</v>
      </c>
      <c r="D66" s="3" t="s">
        <v>226</v>
      </c>
      <c r="E66" s="3" t="s">
        <v>227</v>
      </c>
      <c r="F66" s="4">
        <v>1</v>
      </c>
      <c r="G66" s="4"/>
      <c r="H66" s="4">
        <v>0</v>
      </c>
      <c r="I66" s="4">
        <v>1</v>
      </c>
      <c r="J66" s="4">
        <v>0</v>
      </c>
      <c r="K66" s="4">
        <v>0</v>
      </c>
      <c r="L66" s="4">
        <v>0</v>
      </c>
      <c r="M66" s="4">
        <v>0</v>
      </c>
      <c r="N66" s="4">
        <v>0</v>
      </c>
      <c r="O66" s="4">
        <v>0</v>
      </c>
      <c r="P66" s="4">
        <v>0</v>
      </c>
    </row>
    <row r="67" spans="1:16" ht="19.5" customHeight="1" x14ac:dyDescent="0.15">
      <c r="A67" s="2" t="s">
        <v>228</v>
      </c>
      <c r="B67" s="3" t="s">
        <v>132</v>
      </c>
      <c r="C67" s="11">
        <v>5</v>
      </c>
      <c r="D67" s="3" t="s">
        <v>229</v>
      </c>
      <c r="E67" s="14" t="s">
        <v>230</v>
      </c>
      <c r="F67" s="4">
        <v>0</v>
      </c>
      <c r="G67" s="4"/>
      <c r="H67" s="4">
        <v>0</v>
      </c>
      <c r="I67" s="4">
        <v>1</v>
      </c>
      <c r="J67" s="4">
        <v>0</v>
      </c>
      <c r="K67" s="4">
        <v>0</v>
      </c>
      <c r="L67" s="4">
        <v>0</v>
      </c>
      <c r="M67" s="4">
        <v>0</v>
      </c>
      <c r="N67" s="4">
        <v>0</v>
      </c>
      <c r="O67" s="4">
        <v>1</v>
      </c>
      <c r="P67" s="4">
        <v>0</v>
      </c>
    </row>
    <row r="68" spans="1:16" ht="19.5" customHeight="1" x14ac:dyDescent="0.15">
      <c r="A68" s="2" t="s">
        <v>231</v>
      </c>
      <c r="B68" s="3" t="s">
        <v>161</v>
      </c>
      <c r="C68" s="11">
        <v>1</v>
      </c>
      <c r="D68" s="3" t="s">
        <v>232</v>
      </c>
      <c r="E68" s="3" t="s">
        <v>233</v>
      </c>
      <c r="F68" s="4">
        <v>1</v>
      </c>
      <c r="G68" s="4"/>
      <c r="H68" s="4">
        <v>0</v>
      </c>
      <c r="I68" s="4">
        <v>0</v>
      </c>
      <c r="J68" s="4">
        <v>0</v>
      </c>
      <c r="K68" s="4">
        <v>0</v>
      </c>
      <c r="L68" s="4">
        <v>0</v>
      </c>
      <c r="M68" s="4">
        <v>0</v>
      </c>
      <c r="N68" s="4">
        <v>0</v>
      </c>
      <c r="O68" s="4">
        <v>0</v>
      </c>
      <c r="P68" s="4">
        <v>0</v>
      </c>
    </row>
    <row r="69" spans="1:16" ht="19.5" customHeight="1" x14ac:dyDescent="0.15">
      <c r="A69" s="2" t="s">
        <v>234</v>
      </c>
      <c r="B69" s="3" t="s">
        <v>105</v>
      </c>
      <c r="C69" s="11">
        <v>5</v>
      </c>
      <c r="D69" s="3" t="s">
        <v>235</v>
      </c>
      <c r="E69" s="3" t="s">
        <v>236</v>
      </c>
      <c r="F69" s="4">
        <v>0</v>
      </c>
      <c r="G69" s="4"/>
      <c r="H69" s="4">
        <v>0</v>
      </c>
      <c r="I69" s="4">
        <v>0</v>
      </c>
      <c r="J69" s="4">
        <v>0</v>
      </c>
      <c r="K69" s="4">
        <v>0</v>
      </c>
      <c r="L69" s="4">
        <v>0</v>
      </c>
      <c r="M69" s="4">
        <v>0</v>
      </c>
      <c r="N69" s="4">
        <v>0</v>
      </c>
      <c r="O69" s="4">
        <v>0</v>
      </c>
      <c r="P69" s="4">
        <v>0</v>
      </c>
    </row>
    <row r="70" spans="1:16" ht="19.5" customHeight="1" x14ac:dyDescent="0.15">
      <c r="A70" s="2" t="s">
        <v>237</v>
      </c>
      <c r="B70" s="3" t="s">
        <v>84</v>
      </c>
      <c r="C70" s="11">
        <v>5</v>
      </c>
      <c r="D70" s="3" t="s">
        <v>238</v>
      </c>
      <c r="E70" s="3" t="s">
        <v>239</v>
      </c>
      <c r="F70" s="4">
        <v>0</v>
      </c>
      <c r="G70" s="4"/>
      <c r="H70" s="4">
        <v>0</v>
      </c>
      <c r="I70" s="4">
        <v>0</v>
      </c>
      <c r="J70" s="4">
        <v>0</v>
      </c>
      <c r="K70" s="4">
        <v>0</v>
      </c>
      <c r="L70" s="4">
        <v>0</v>
      </c>
      <c r="M70" s="4">
        <v>0</v>
      </c>
      <c r="N70" s="4">
        <v>0</v>
      </c>
      <c r="O70" s="4">
        <v>0</v>
      </c>
      <c r="P70" s="4">
        <v>0</v>
      </c>
    </row>
    <row r="71" spans="1:16" ht="19.5" customHeight="1" x14ac:dyDescent="0.15">
      <c r="A71" s="2" t="s">
        <v>240</v>
      </c>
      <c r="B71" s="3" t="s">
        <v>161</v>
      </c>
      <c r="C71" s="11">
        <v>2</v>
      </c>
      <c r="D71" s="3" t="s">
        <v>241</v>
      </c>
      <c r="E71" s="3" t="s">
        <v>242</v>
      </c>
      <c r="F71" s="4">
        <v>0</v>
      </c>
      <c r="G71" s="4"/>
      <c r="H71" s="4">
        <v>0</v>
      </c>
      <c r="I71" s="4">
        <v>0</v>
      </c>
      <c r="J71" s="4">
        <v>1</v>
      </c>
      <c r="K71" s="4">
        <v>0</v>
      </c>
      <c r="L71" s="4">
        <v>1</v>
      </c>
      <c r="M71" s="4">
        <v>0</v>
      </c>
      <c r="N71" s="4">
        <v>0</v>
      </c>
      <c r="O71" s="4">
        <v>0</v>
      </c>
      <c r="P71" s="4">
        <v>0</v>
      </c>
    </row>
    <row r="72" spans="1:16" ht="19.5" customHeight="1" x14ac:dyDescent="0.15">
      <c r="A72" s="2" t="s">
        <v>243</v>
      </c>
      <c r="B72" s="3" t="s">
        <v>56</v>
      </c>
      <c r="C72" s="11">
        <v>5</v>
      </c>
      <c r="D72" s="3" t="s">
        <v>244</v>
      </c>
      <c r="E72" s="3" t="s">
        <v>245</v>
      </c>
      <c r="F72" s="4">
        <v>0</v>
      </c>
      <c r="G72" s="4"/>
      <c r="H72" s="4">
        <v>0</v>
      </c>
      <c r="I72" s="4">
        <v>0</v>
      </c>
      <c r="J72" s="4">
        <v>0</v>
      </c>
      <c r="K72" s="4">
        <v>0</v>
      </c>
      <c r="L72" s="4">
        <v>0</v>
      </c>
      <c r="M72" s="4">
        <v>0</v>
      </c>
      <c r="N72" s="4">
        <v>0</v>
      </c>
      <c r="O72" s="4">
        <v>0</v>
      </c>
      <c r="P72" s="4">
        <v>0</v>
      </c>
    </row>
    <row r="73" spans="1:16" ht="19.5" customHeight="1" x14ac:dyDescent="0.15">
      <c r="A73" s="2" t="s">
        <v>246</v>
      </c>
      <c r="B73" s="3" t="s">
        <v>26</v>
      </c>
      <c r="C73" s="11">
        <v>5</v>
      </c>
      <c r="D73" s="3" t="s">
        <v>247</v>
      </c>
      <c r="E73" s="3" t="s">
        <v>248</v>
      </c>
      <c r="F73" s="4">
        <v>0</v>
      </c>
      <c r="G73" s="4"/>
      <c r="H73" s="4">
        <v>0</v>
      </c>
      <c r="I73" s="4">
        <v>0</v>
      </c>
      <c r="J73" s="4">
        <v>0</v>
      </c>
      <c r="K73" s="4">
        <v>0</v>
      </c>
      <c r="L73" s="4">
        <v>0</v>
      </c>
      <c r="M73" s="4">
        <v>0</v>
      </c>
      <c r="N73" s="4">
        <v>0</v>
      </c>
      <c r="O73" s="4">
        <v>0</v>
      </c>
      <c r="P73" s="4">
        <v>0</v>
      </c>
    </row>
    <row r="74" spans="1:16" ht="19.5" customHeight="1" x14ac:dyDescent="0.15">
      <c r="A74" s="2" t="s">
        <v>249</v>
      </c>
      <c r="B74" s="3" t="s">
        <v>70</v>
      </c>
      <c r="C74" s="11">
        <v>1</v>
      </c>
      <c r="D74" s="3" t="s">
        <v>250</v>
      </c>
      <c r="E74" s="3" t="s">
        <v>251</v>
      </c>
      <c r="F74" s="4">
        <v>0</v>
      </c>
      <c r="G74" s="4"/>
      <c r="H74" s="4">
        <v>0</v>
      </c>
      <c r="I74" s="4">
        <v>0</v>
      </c>
      <c r="J74" s="4">
        <v>0</v>
      </c>
      <c r="K74" s="4">
        <v>0</v>
      </c>
      <c r="L74" s="4">
        <v>0</v>
      </c>
      <c r="M74" s="4">
        <v>0</v>
      </c>
      <c r="N74" s="4">
        <v>0</v>
      </c>
      <c r="O74" s="4">
        <v>0</v>
      </c>
      <c r="P74" s="4">
        <v>0</v>
      </c>
    </row>
    <row r="75" spans="1:16" ht="19.5" customHeight="1" x14ac:dyDescent="0.15">
      <c r="A75" s="2" t="s">
        <v>252</v>
      </c>
      <c r="B75" s="3" t="s">
        <v>14</v>
      </c>
      <c r="C75" s="11">
        <v>5</v>
      </c>
      <c r="D75" s="3" t="s">
        <v>253</v>
      </c>
      <c r="E75" s="3" t="s">
        <v>254</v>
      </c>
      <c r="F75" s="4">
        <v>0</v>
      </c>
      <c r="G75" s="4"/>
      <c r="H75" s="4">
        <v>0</v>
      </c>
      <c r="I75" s="4">
        <v>0</v>
      </c>
      <c r="J75" s="4">
        <v>0</v>
      </c>
      <c r="K75" s="4">
        <v>0</v>
      </c>
      <c r="L75" s="4">
        <v>0</v>
      </c>
      <c r="M75" s="4">
        <v>0</v>
      </c>
      <c r="N75" s="4">
        <v>0</v>
      </c>
      <c r="O75" s="4">
        <v>0</v>
      </c>
      <c r="P75" s="4">
        <v>0</v>
      </c>
    </row>
    <row r="76" spans="1:16" ht="19.5" customHeight="1" x14ac:dyDescent="0.15">
      <c r="A76" s="2" t="s">
        <v>255</v>
      </c>
      <c r="B76" s="3" t="s">
        <v>26</v>
      </c>
      <c r="C76" s="11">
        <v>5</v>
      </c>
      <c r="D76" s="3" t="s">
        <v>256</v>
      </c>
      <c r="E76" s="3" t="s">
        <v>257</v>
      </c>
      <c r="F76" s="4">
        <v>0</v>
      </c>
      <c r="G76" s="4"/>
      <c r="H76" s="4">
        <v>0</v>
      </c>
      <c r="I76" s="4">
        <v>0</v>
      </c>
      <c r="J76" s="4">
        <v>0</v>
      </c>
      <c r="K76" s="4">
        <v>0</v>
      </c>
      <c r="L76" s="4">
        <v>0</v>
      </c>
      <c r="M76" s="4">
        <v>0</v>
      </c>
      <c r="N76" s="4">
        <v>0</v>
      </c>
      <c r="O76" s="4">
        <v>0</v>
      </c>
      <c r="P76" s="4">
        <v>0</v>
      </c>
    </row>
    <row r="77" spans="1:16" ht="19.5" customHeight="1" x14ac:dyDescent="0.15">
      <c r="A77" s="2" t="s">
        <v>258</v>
      </c>
      <c r="B77" s="3" t="s">
        <v>33</v>
      </c>
      <c r="C77" s="11">
        <v>5</v>
      </c>
      <c r="D77" s="3" t="s">
        <v>259</v>
      </c>
      <c r="E77" s="3" t="s">
        <v>260</v>
      </c>
      <c r="F77" s="4">
        <v>0</v>
      </c>
      <c r="G77" s="4"/>
      <c r="H77" s="4">
        <v>0</v>
      </c>
      <c r="I77" s="4">
        <v>0</v>
      </c>
      <c r="J77" s="4">
        <v>0</v>
      </c>
      <c r="K77" s="4">
        <v>0</v>
      </c>
      <c r="L77" s="4">
        <v>0</v>
      </c>
      <c r="M77" s="4">
        <v>0</v>
      </c>
      <c r="N77" s="4">
        <v>0</v>
      </c>
      <c r="O77" s="4">
        <v>0</v>
      </c>
      <c r="P77" s="4">
        <v>0</v>
      </c>
    </row>
    <row r="78" spans="1:16" ht="19.5" customHeight="1" x14ac:dyDescent="0.15">
      <c r="A78" s="2" t="s">
        <v>261</v>
      </c>
      <c r="B78" s="3" t="s">
        <v>56</v>
      </c>
      <c r="C78" s="11">
        <v>5</v>
      </c>
      <c r="D78" s="3" t="s">
        <v>262</v>
      </c>
      <c r="E78" s="3" t="s">
        <v>263</v>
      </c>
      <c r="F78" s="4">
        <v>0</v>
      </c>
      <c r="G78" s="4"/>
      <c r="H78" s="4">
        <v>0</v>
      </c>
      <c r="I78" s="4">
        <v>0</v>
      </c>
      <c r="J78" s="4">
        <v>0</v>
      </c>
      <c r="K78" s="4">
        <v>0</v>
      </c>
      <c r="L78" s="4">
        <v>0</v>
      </c>
      <c r="M78" s="4">
        <v>0</v>
      </c>
      <c r="N78" s="4">
        <v>0</v>
      </c>
      <c r="O78" s="4">
        <v>0</v>
      </c>
      <c r="P78" s="4">
        <v>0</v>
      </c>
    </row>
    <row r="79" spans="1:16" ht="19.5" customHeight="1" x14ac:dyDescent="0.15">
      <c r="A79" s="2" t="s">
        <v>264</v>
      </c>
      <c r="B79" s="3" t="s">
        <v>56</v>
      </c>
      <c r="C79" s="11">
        <v>5</v>
      </c>
      <c r="D79" s="3" t="s">
        <v>265</v>
      </c>
      <c r="E79" s="3" t="s">
        <v>266</v>
      </c>
      <c r="F79" s="4">
        <v>0</v>
      </c>
      <c r="G79" s="4"/>
      <c r="H79" s="4">
        <v>0</v>
      </c>
      <c r="I79" s="4">
        <v>0</v>
      </c>
      <c r="J79" s="4">
        <v>0</v>
      </c>
      <c r="K79" s="4">
        <v>0</v>
      </c>
      <c r="L79" s="4">
        <v>0</v>
      </c>
      <c r="M79" s="4">
        <v>0</v>
      </c>
      <c r="N79" s="4">
        <v>0</v>
      </c>
      <c r="O79" s="4">
        <v>0</v>
      </c>
      <c r="P79" s="4">
        <v>0</v>
      </c>
    </row>
    <row r="80" spans="1:16" ht="19.5" customHeight="1" x14ac:dyDescent="0.15">
      <c r="A80" s="2" t="s">
        <v>267</v>
      </c>
      <c r="B80" s="3" t="s">
        <v>109</v>
      </c>
      <c r="C80" s="11">
        <v>3</v>
      </c>
      <c r="D80" s="3" t="s">
        <v>268</v>
      </c>
      <c r="E80" s="3" t="s">
        <v>269</v>
      </c>
      <c r="F80" s="4">
        <v>1</v>
      </c>
      <c r="G80" s="4"/>
      <c r="H80" s="4">
        <v>0</v>
      </c>
      <c r="I80" s="4">
        <v>0</v>
      </c>
      <c r="J80" s="4">
        <v>0</v>
      </c>
      <c r="K80" s="4">
        <v>0</v>
      </c>
      <c r="L80" s="4">
        <v>0</v>
      </c>
      <c r="M80" s="4">
        <v>0</v>
      </c>
      <c r="N80" s="4">
        <v>0</v>
      </c>
      <c r="O80" s="4">
        <v>0</v>
      </c>
      <c r="P80" s="4">
        <v>0</v>
      </c>
    </row>
    <row r="81" spans="1:16" ht="19.5" customHeight="1" x14ac:dyDescent="0.15">
      <c r="A81" s="2" t="s">
        <v>270</v>
      </c>
      <c r="B81" s="3" t="s">
        <v>105</v>
      </c>
      <c r="C81" s="11">
        <v>1</v>
      </c>
      <c r="D81" s="3" t="s">
        <v>271</v>
      </c>
      <c r="E81" s="3" t="s">
        <v>272</v>
      </c>
      <c r="F81" s="4">
        <v>0</v>
      </c>
      <c r="G81" s="4"/>
      <c r="H81" s="4">
        <v>0</v>
      </c>
      <c r="I81" s="4">
        <v>1</v>
      </c>
      <c r="J81" s="4">
        <v>0</v>
      </c>
      <c r="K81" s="4">
        <v>0</v>
      </c>
      <c r="L81" s="4">
        <v>0</v>
      </c>
      <c r="M81" s="4">
        <v>0</v>
      </c>
      <c r="N81" s="4">
        <v>0</v>
      </c>
      <c r="O81" s="4">
        <v>0</v>
      </c>
      <c r="P81" s="4">
        <v>0</v>
      </c>
    </row>
    <row r="82" spans="1:16" ht="19.5" customHeight="1" x14ac:dyDescent="0.15">
      <c r="A82" s="2" t="s">
        <v>273</v>
      </c>
      <c r="B82" s="3" t="s">
        <v>18</v>
      </c>
      <c r="C82" s="11">
        <v>5</v>
      </c>
      <c r="D82" s="3" t="s">
        <v>274</v>
      </c>
      <c r="E82" s="3" t="s">
        <v>275</v>
      </c>
      <c r="F82" s="4">
        <v>0</v>
      </c>
      <c r="G82" s="4"/>
      <c r="H82" s="4">
        <v>0</v>
      </c>
      <c r="I82" s="4">
        <v>0</v>
      </c>
      <c r="J82" s="4">
        <v>0</v>
      </c>
      <c r="K82" s="4">
        <v>0</v>
      </c>
      <c r="L82" s="4">
        <v>0</v>
      </c>
      <c r="M82" s="4">
        <v>0</v>
      </c>
      <c r="N82" s="4">
        <v>0</v>
      </c>
      <c r="O82" s="4">
        <v>0</v>
      </c>
      <c r="P82" s="4">
        <v>0</v>
      </c>
    </row>
    <row r="83" spans="1:16" ht="19.5" customHeight="1" x14ac:dyDescent="0.15">
      <c r="A83" s="2" t="s">
        <v>276</v>
      </c>
      <c r="B83" s="3" t="s">
        <v>84</v>
      </c>
      <c r="C83" s="11">
        <v>5</v>
      </c>
      <c r="D83" s="3" t="s">
        <v>277</v>
      </c>
      <c r="E83" s="3" t="s">
        <v>278</v>
      </c>
      <c r="F83" s="4">
        <v>0</v>
      </c>
      <c r="G83" s="4"/>
      <c r="H83" s="4">
        <v>0</v>
      </c>
      <c r="I83" s="4">
        <v>0</v>
      </c>
      <c r="J83" s="4">
        <v>0</v>
      </c>
      <c r="K83" s="4">
        <v>0</v>
      </c>
      <c r="L83" s="4">
        <v>0</v>
      </c>
      <c r="M83" s="4">
        <v>0</v>
      </c>
      <c r="N83" s="4">
        <v>0</v>
      </c>
      <c r="O83" s="4">
        <v>0</v>
      </c>
      <c r="P83" s="4">
        <v>0</v>
      </c>
    </row>
    <row r="84" spans="1:16" ht="19.5" customHeight="1" x14ac:dyDescent="0.15">
      <c r="A84" s="2" t="s">
        <v>279</v>
      </c>
      <c r="B84" s="3" t="s">
        <v>33</v>
      </c>
      <c r="C84" s="11">
        <v>3</v>
      </c>
      <c r="D84" s="3" t="s">
        <v>280</v>
      </c>
      <c r="E84" s="3" t="s">
        <v>281</v>
      </c>
      <c r="F84" s="4">
        <v>0</v>
      </c>
      <c r="G84" s="4"/>
      <c r="H84" s="4">
        <v>0</v>
      </c>
      <c r="I84" s="4">
        <v>1</v>
      </c>
      <c r="J84" s="4">
        <v>0</v>
      </c>
      <c r="K84" s="4">
        <v>0</v>
      </c>
      <c r="L84" s="4">
        <v>1</v>
      </c>
      <c r="M84" s="4">
        <v>0</v>
      </c>
      <c r="N84" s="4">
        <v>0</v>
      </c>
      <c r="O84" s="4">
        <v>0</v>
      </c>
      <c r="P84" s="4">
        <v>0</v>
      </c>
    </row>
    <row r="85" spans="1:16" ht="19.5" customHeight="1" x14ac:dyDescent="0.15">
      <c r="A85" s="2" t="s">
        <v>282</v>
      </c>
      <c r="B85" s="3" t="s">
        <v>105</v>
      </c>
      <c r="C85" s="11">
        <v>1</v>
      </c>
      <c r="D85" s="3" t="s">
        <v>283</v>
      </c>
      <c r="E85" s="3" t="s">
        <v>284</v>
      </c>
      <c r="F85" s="4">
        <v>0</v>
      </c>
      <c r="G85" s="4"/>
      <c r="H85" s="4">
        <v>0</v>
      </c>
      <c r="I85" s="4">
        <v>1</v>
      </c>
      <c r="J85" s="4">
        <v>1</v>
      </c>
      <c r="K85" s="4">
        <v>0</v>
      </c>
      <c r="L85" s="4">
        <v>0</v>
      </c>
      <c r="M85" s="4">
        <v>0</v>
      </c>
      <c r="N85" s="4">
        <v>0</v>
      </c>
      <c r="O85" s="4">
        <v>0</v>
      </c>
      <c r="P85" s="4">
        <v>0</v>
      </c>
    </row>
    <row r="86" spans="1:16" ht="31.5" customHeight="1" x14ac:dyDescent="0.15">
      <c r="A86" s="2" t="s">
        <v>285</v>
      </c>
      <c r="B86" s="3" t="s">
        <v>105</v>
      </c>
      <c r="C86" s="11">
        <v>5</v>
      </c>
      <c r="D86" s="3" t="s">
        <v>286</v>
      </c>
      <c r="E86" s="5" t="s">
        <v>287</v>
      </c>
      <c r="F86" s="4">
        <v>0</v>
      </c>
      <c r="G86" s="4"/>
      <c r="H86" s="4">
        <v>0</v>
      </c>
      <c r="I86" s="4">
        <v>0</v>
      </c>
      <c r="J86" s="4">
        <v>0</v>
      </c>
      <c r="K86" s="4">
        <v>0</v>
      </c>
      <c r="L86" s="4">
        <v>0</v>
      </c>
      <c r="M86" s="4">
        <v>0</v>
      </c>
      <c r="N86" s="4">
        <v>0</v>
      </c>
      <c r="O86" s="4">
        <v>0</v>
      </c>
      <c r="P86" s="4">
        <v>0</v>
      </c>
    </row>
    <row r="87" spans="1:16" ht="19.5" customHeight="1" x14ac:dyDescent="0.15">
      <c r="A87" s="2" t="s">
        <v>288</v>
      </c>
      <c r="B87" s="3" t="s">
        <v>84</v>
      </c>
      <c r="C87" s="11">
        <v>5</v>
      </c>
      <c r="D87" s="3" t="s">
        <v>289</v>
      </c>
      <c r="E87" s="3" t="s">
        <v>290</v>
      </c>
      <c r="F87" s="4">
        <v>0</v>
      </c>
      <c r="G87" s="4"/>
      <c r="H87" s="4">
        <v>0</v>
      </c>
      <c r="I87" s="4">
        <v>0</v>
      </c>
      <c r="J87" s="4">
        <v>0</v>
      </c>
      <c r="K87" s="4">
        <v>0</v>
      </c>
      <c r="L87" s="4">
        <v>0</v>
      </c>
      <c r="M87" s="4">
        <v>0</v>
      </c>
      <c r="N87" s="4">
        <v>0</v>
      </c>
      <c r="O87" s="4">
        <v>0</v>
      </c>
      <c r="P87" s="4">
        <v>0</v>
      </c>
    </row>
    <row r="88" spans="1:16" ht="19.5" customHeight="1" x14ac:dyDescent="0.15">
      <c r="A88" s="2" t="s">
        <v>291</v>
      </c>
      <c r="B88" s="3" t="s">
        <v>119</v>
      </c>
      <c r="C88" s="11">
        <v>1</v>
      </c>
      <c r="D88" s="3" t="s">
        <v>292</v>
      </c>
      <c r="E88" s="3" t="s">
        <v>293</v>
      </c>
      <c r="F88" s="4">
        <v>1</v>
      </c>
      <c r="G88" s="4"/>
      <c r="H88" s="4">
        <v>0</v>
      </c>
      <c r="I88" s="4">
        <v>0</v>
      </c>
      <c r="J88" s="4">
        <v>0</v>
      </c>
      <c r="K88" s="4">
        <v>0</v>
      </c>
      <c r="L88" s="4">
        <v>1</v>
      </c>
      <c r="M88" s="4">
        <v>0</v>
      </c>
      <c r="N88" s="4">
        <v>0</v>
      </c>
      <c r="O88" s="4">
        <v>0</v>
      </c>
      <c r="P88" s="4">
        <v>0</v>
      </c>
    </row>
    <row r="89" spans="1:16" ht="19.5" customHeight="1" x14ac:dyDescent="0.15">
      <c r="A89" s="2" t="s">
        <v>294</v>
      </c>
      <c r="B89" s="3" t="s">
        <v>37</v>
      </c>
      <c r="C89" s="11">
        <v>5</v>
      </c>
      <c r="D89" s="3" t="s">
        <v>295</v>
      </c>
      <c r="E89" s="3" t="s">
        <v>296</v>
      </c>
      <c r="F89" s="4">
        <v>0</v>
      </c>
      <c r="G89" s="4"/>
      <c r="H89" s="4">
        <v>0</v>
      </c>
      <c r="I89" s="4">
        <v>0</v>
      </c>
      <c r="J89" s="4">
        <v>0</v>
      </c>
      <c r="K89" s="4">
        <v>0</v>
      </c>
      <c r="L89" s="4">
        <v>0</v>
      </c>
      <c r="M89" s="4">
        <v>0</v>
      </c>
      <c r="N89" s="4">
        <v>0</v>
      </c>
      <c r="O89" s="4">
        <v>0</v>
      </c>
      <c r="P89" s="4">
        <v>0</v>
      </c>
    </row>
    <row r="90" spans="1:16" ht="19.5" customHeight="1" x14ac:dyDescent="0.15">
      <c r="A90" s="2" t="s">
        <v>297</v>
      </c>
      <c r="B90" s="3" t="s">
        <v>56</v>
      </c>
      <c r="C90" s="11">
        <v>1</v>
      </c>
      <c r="D90" s="3" t="s">
        <v>298</v>
      </c>
      <c r="E90" s="3" t="s">
        <v>299</v>
      </c>
      <c r="F90" s="4">
        <v>0</v>
      </c>
      <c r="G90" s="4"/>
      <c r="H90" s="4">
        <v>0</v>
      </c>
      <c r="I90" s="4">
        <v>1</v>
      </c>
      <c r="J90" s="4">
        <v>1</v>
      </c>
      <c r="K90" s="4">
        <v>0</v>
      </c>
      <c r="L90" s="4">
        <v>1</v>
      </c>
      <c r="M90" s="4">
        <v>0</v>
      </c>
      <c r="N90" s="4">
        <v>0</v>
      </c>
      <c r="O90" s="4">
        <v>0</v>
      </c>
      <c r="P90" s="4">
        <v>0</v>
      </c>
    </row>
    <row r="91" spans="1:16" ht="19.5" customHeight="1" x14ac:dyDescent="0.15">
      <c r="A91" s="2" t="s">
        <v>300</v>
      </c>
      <c r="B91" s="3" t="s">
        <v>148</v>
      </c>
      <c r="C91" s="11">
        <v>1</v>
      </c>
      <c r="D91" s="3" t="s">
        <v>301</v>
      </c>
      <c r="E91" s="3" t="s">
        <v>302</v>
      </c>
      <c r="F91" s="4">
        <v>0</v>
      </c>
      <c r="G91" s="4"/>
      <c r="H91" s="4">
        <v>0</v>
      </c>
      <c r="I91" s="4">
        <v>0</v>
      </c>
      <c r="J91" s="4">
        <v>0</v>
      </c>
      <c r="K91" s="4">
        <v>0</v>
      </c>
      <c r="L91" s="4">
        <v>1</v>
      </c>
      <c r="M91" s="4">
        <v>0</v>
      </c>
      <c r="N91" s="4">
        <v>0</v>
      </c>
      <c r="O91" s="4">
        <v>1</v>
      </c>
      <c r="P91" s="4">
        <v>0</v>
      </c>
    </row>
    <row r="92" spans="1:16" ht="19.5" customHeight="1" x14ac:dyDescent="0.15">
      <c r="A92" s="2" t="s">
        <v>303</v>
      </c>
      <c r="B92" s="3" t="s">
        <v>37</v>
      </c>
      <c r="C92" s="11">
        <v>5</v>
      </c>
      <c r="D92" s="3" t="s">
        <v>304</v>
      </c>
      <c r="E92" s="3" t="s">
        <v>305</v>
      </c>
      <c r="F92" s="4">
        <v>0</v>
      </c>
      <c r="G92" s="4"/>
      <c r="H92" s="4">
        <v>0</v>
      </c>
      <c r="I92" s="4">
        <v>0</v>
      </c>
      <c r="J92" s="4">
        <v>0</v>
      </c>
      <c r="K92" s="4">
        <v>0</v>
      </c>
      <c r="L92" s="4">
        <v>0</v>
      </c>
      <c r="M92" s="4">
        <v>0</v>
      </c>
      <c r="N92" s="4">
        <v>0</v>
      </c>
      <c r="O92" s="4">
        <v>0</v>
      </c>
      <c r="P92" s="4">
        <v>0</v>
      </c>
    </row>
    <row r="93" spans="1:16" ht="19.5" customHeight="1" x14ac:dyDescent="0.15">
      <c r="A93" s="2" t="s">
        <v>306</v>
      </c>
      <c r="B93" s="3" t="s">
        <v>41</v>
      </c>
      <c r="C93" s="11">
        <v>5</v>
      </c>
      <c r="D93" s="3" t="s">
        <v>307</v>
      </c>
      <c r="E93" s="3" t="s">
        <v>308</v>
      </c>
      <c r="F93" s="4">
        <v>0</v>
      </c>
      <c r="G93" s="4"/>
      <c r="H93" s="4">
        <v>0</v>
      </c>
      <c r="I93" s="4">
        <v>0</v>
      </c>
      <c r="J93" s="4">
        <v>0</v>
      </c>
      <c r="K93" s="4">
        <v>0</v>
      </c>
      <c r="L93" s="4">
        <v>0</v>
      </c>
      <c r="M93" s="4">
        <v>0</v>
      </c>
      <c r="N93" s="4">
        <v>0</v>
      </c>
      <c r="O93" s="4">
        <v>0</v>
      </c>
      <c r="P93" s="4">
        <v>0</v>
      </c>
    </row>
    <row r="94" spans="1:16" ht="19.5" customHeight="1" x14ac:dyDescent="0.15">
      <c r="A94" s="2" t="s">
        <v>309</v>
      </c>
      <c r="B94" s="3" t="s">
        <v>84</v>
      </c>
      <c r="C94" s="11">
        <v>5</v>
      </c>
      <c r="D94" s="3" t="s">
        <v>310</v>
      </c>
      <c r="E94" s="3" t="s">
        <v>311</v>
      </c>
      <c r="F94" s="4">
        <v>0</v>
      </c>
      <c r="G94" s="4"/>
      <c r="H94" s="4">
        <v>0</v>
      </c>
      <c r="I94" s="4">
        <v>0</v>
      </c>
      <c r="J94" s="4">
        <v>0</v>
      </c>
      <c r="K94" s="4">
        <v>0</v>
      </c>
      <c r="L94" s="4">
        <v>0</v>
      </c>
      <c r="M94" s="4">
        <v>0</v>
      </c>
      <c r="N94" s="4">
        <v>0</v>
      </c>
      <c r="O94" s="4">
        <v>0</v>
      </c>
      <c r="P94" s="4">
        <v>0</v>
      </c>
    </row>
    <row r="95" spans="1:16" ht="31.5" customHeight="1" x14ac:dyDescent="0.15">
      <c r="A95" s="2" t="s">
        <v>312</v>
      </c>
      <c r="B95" s="3" t="s">
        <v>105</v>
      </c>
      <c r="C95" s="11">
        <v>5</v>
      </c>
      <c r="D95" s="3" t="s">
        <v>313</v>
      </c>
      <c r="E95" s="5" t="s">
        <v>314</v>
      </c>
      <c r="F95" s="4">
        <v>0</v>
      </c>
      <c r="G95" s="4"/>
      <c r="H95" s="4">
        <v>0</v>
      </c>
      <c r="I95" s="4">
        <v>0</v>
      </c>
      <c r="J95" s="4">
        <v>0</v>
      </c>
      <c r="K95" s="4">
        <v>0</v>
      </c>
      <c r="L95" s="4">
        <v>0</v>
      </c>
      <c r="M95" s="4">
        <v>0</v>
      </c>
      <c r="N95" s="4">
        <v>0</v>
      </c>
      <c r="O95" s="4">
        <v>0</v>
      </c>
      <c r="P95" s="4">
        <v>0</v>
      </c>
    </row>
    <row r="96" spans="1:16" ht="31.5" customHeight="1" x14ac:dyDescent="0.15">
      <c r="A96" s="2" t="s">
        <v>315</v>
      </c>
      <c r="B96" s="3" t="s">
        <v>109</v>
      </c>
      <c r="C96" s="11">
        <v>5</v>
      </c>
      <c r="D96" s="3" t="s">
        <v>316</v>
      </c>
      <c r="E96" s="5" t="s">
        <v>317</v>
      </c>
      <c r="F96" s="4">
        <v>0</v>
      </c>
      <c r="G96" s="4"/>
      <c r="H96" s="4">
        <v>0</v>
      </c>
      <c r="I96" s="4">
        <v>0</v>
      </c>
      <c r="J96" s="4">
        <v>0</v>
      </c>
      <c r="K96" s="4">
        <v>0</v>
      </c>
      <c r="L96" s="4">
        <v>0</v>
      </c>
      <c r="M96" s="4">
        <v>0</v>
      </c>
      <c r="N96" s="4">
        <v>0</v>
      </c>
      <c r="O96" s="4">
        <v>0</v>
      </c>
      <c r="P96" s="4">
        <v>0</v>
      </c>
    </row>
    <row r="97" spans="1:16" ht="31.5" customHeight="1" x14ac:dyDescent="0.15">
      <c r="A97" s="2" t="s">
        <v>318</v>
      </c>
      <c r="B97" s="3" t="s">
        <v>56</v>
      </c>
      <c r="C97" s="11">
        <v>5</v>
      </c>
      <c r="D97" s="3" t="s">
        <v>319</v>
      </c>
      <c r="E97" s="5" t="s">
        <v>320</v>
      </c>
      <c r="F97" s="4">
        <v>0</v>
      </c>
      <c r="G97" s="4"/>
      <c r="H97" s="4">
        <v>0</v>
      </c>
      <c r="I97" s="4">
        <v>0</v>
      </c>
      <c r="J97" s="4">
        <v>0</v>
      </c>
      <c r="K97" s="4">
        <v>0</v>
      </c>
      <c r="L97" s="4">
        <v>0</v>
      </c>
      <c r="M97" s="4">
        <v>0</v>
      </c>
      <c r="N97" s="4">
        <v>0</v>
      </c>
      <c r="O97" s="4">
        <v>0</v>
      </c>
      <c r="P97" s="4">
        <v>0</v>
      </c>
    </row>
    <row r="98" spans="1:16" ht="19.5" customHeight="1" x14ac:dyDescent="0.15">
      <c r="A98" s="2" t="s">
        <v>321</v>
      </c>
      <c r="B98" s="3" t="s">
        <v>148</v>
      </c>
      <c r="C98" s="11">
        <v>1</v>
      </c>
      <c r="D98" s="3" t="s">
        <v>322</v>
      </c>
      <c r="E98" s="3" t="s">
        <v>323</v>
      </c>
      <c r="F98" s="4">
        <v>1</v>
      </c>
      <c r="G98" s="4"/>
      <c r="H98" s="4">
        <v>0</v>
      </c>
      <c r="I98" s="4">
        <v>0</v>
      </c>
      <c r="J98" s="4">
        <v>0</v>
      </c>
      <c r="K98" s="4">
        <v>0</v>
      </c>
      <c r="L98" s="4">
        <v>0</v>
      </c>
      <c r="M98" s="4">
        <v>0</v>
      </c>
      <c r="N98" s="4">
        <v>0</v>
      </c>
      <c r="O98" s="4">
        <v>0</v>
      </c>
      <c r="P98" s="4">
        <v>0</v>
      </c>
    </row>
    <row r="99" spans="1:16" ht="43.5" customHeight="1" x14ac:dyDescent="0.15">
      <c r="A99" s="2" t="s">
        <v>324</v>
      </c>
      <c r="B99" s="3" t="s">
        <v>41</v>
      </c>
      <c r="C99" s="11">
        <v>1</v>
      </c>
      <c r="D99" s="3" t="s">
        <v>325</v>
      </c>
      <c r="E99" s="5" t="s">
        <v>326</v>
      </c>
      <c r="F99" s="4">
        <v>1</v>
      </c>
      <c r="G99" s="4"/>
      <c r="H99" s="4">
        <v>0</v>
      </c>
      <c r="I99" s="4">
        <v>0</v>
      </c>
      <c r="J99" s="4">
        <v>0</v>
      </c>
      <c r="K99" s="4">
        <v>0</v>
      </c>
      <c r="L99" s="4">
        <v>0</v>
      </c>
      <c r="M99" s="4">
        <v>0</v>
      </c>
      <c r="N99" s="4">
        <v>0</v>
      </c>
      <c r="O99" s="4">
        <v>0</v>
      </c>
      <c r="P99" s="4">
        <v>0</v>
      </c>
    </row>
    <row r="100" spans="1:16" ht="19.5" customHeight="1" x14ac:dyDescent="0.15">
      <c r="A100" s="2" t="s">
        <v>327</v>
      </c>
      <c r="B100" s="3" t="s">
        <v>26</v>
      </c>
      <c r="C100" s="11">
        <v>5</v>
      </c>
      <c r="D100" s="3" t="s">
        <v>328</v>
      </c>
      <c r="E100" s="3" t="s">
        <v>329</v>
      </c>
      <c r="F100" s="4">
        <v>0</v>
      </c>
      <c r="G100" s="4"/>
      <c r="H100" s="4">
        <v>0</v>
      </c>
      <c r="I100" s="4">
        <v>0</v>
      </c>
      <c r="J100" s="4">
        <v>0</v>
      </c>
      <c r="K100" s="4">
        <v>0</v>
      </c>
      <c r="L100" s="4">
        <v>0</v>
      </c>
      <c r="M100" s="4">
        <v>0</v>
      </c>
      <c r="N100" s="4">
        <v>0</v>
      </c>
      <c r="O100" s="4">
        <v>0</v>
      </c>
      <c r="P100" s="4">
        <v>0</v>
      </c>
    </row>
    <row r="101" spans="1:16" ht="19.5" customHeight="1" x14ac:dyDescent="0.15">
      <c r="A101" s="2" t="s">
        <v>330</v>
      </c>
      <c r="B101" s="3" t="s">
        <v>33</v>
      </c>
      <c r="C101" s="11">
        <v>5</v>
      </c>
      <c r="D101" s="3" t="s">
        <v>331</v>
      </c>
      <c r="E101" s="3" t="s">
        <v>332</v>
      </c>
      <c r="F101" s="4">
        <v>0</v>
      </c>
      <c r="G101" s="4"/>
      <c r="H101" s="4">
        <v>0</v>
      </c>
      <c r="I101" s="4">
        <v>0</v>
      </c>
      <c r="J101" s="4">
        <v>0</v>
      </c>
      <c r="K101" s="4">
        <v>0</v>
      </c>
      <c r="L101" s="4">
        <v>0</v>
      </c>
      <c r="M101" s="4">
        <v>0</v>
      </c>
      <c r="N101" s="4">
        <v>0</v>
      </c>
      <c r="O101" s="4">
        <v>0</v>
      </c>
      <c r="P101" s="4">
        <v>0</v>
      </c>
    </row>
    <row r="102" spans="1:16" ht="54" customHeight="1" x14ac:dyDescent="0.15">
      <c r="A102" s="2" t="s">
        <v>333</v>
      </c>
      <c r="B102" s="3" t="s">
        <v>41</v>
      </c>
      <c r="C102" s="11">
        <v>1</v>
      </c>
      <c r="D102" s="3" t="s">
        <v>334</v>
      </c>
      <c r="E102" s="5" t="s">
        <v>335</v>
      </c>
      <c r="F102" s="4">
        <v>0</v>
      </c>
      <c r="G102" s="4"/>
      <c r="H102" s="4">
        <v>0</v>
      </c>
      <c r="I102" s="4">
        <v>1</v>
      </c>
      <c r="J102" s="4">
        <v>1</v>
      </c>
      <c r="K102" s="4">
        <v>0</v>
      </c>
      <c r="L102" s="4">
        <v>1</v>
      </c>
      <c r="M102" s="4">
        <v>1</v>
      </c>
      <c r="N102" s="4">
        <v>0</v>
      </c>
      <c r="O102" s="4">
        <v>0</v>
      </c>
      <c r="P102" s="4">
        <v>1</v>
      </c>
    </row>
    <row r="103" spans="1:16" ht="19.5" customHeight="1" x14ac:dyDescent="0.15">
      <c r="A103" s="2" t="s">
        <v>336</v>
      </c>
      <c r="B103" s="3" t="s">
        <v>161</v>
      </c>
      <c r="C103" s="11">
        <v>1</v>
      </c>
      <c r="D103" s="3" t="s">
        <v>337</v>
      </c>
      <c r="E103" s="3" t="s">
        <v>338</v>
      </c>
      <c r="F103" s="4">
        <v>1</v>
      </c>
      <c r="G103" s="4"/>
      <c r="H103" s="4">
        <v>0</v>
      </c>
      <c r="I103" s="4">
        <v>0</v>
      </c>
      <c r="J103" s="4">
        <v>0</v>
      </c>
      <c r="K103" s="4">
        <v>0</v>
      </c>
      <c r="L103" s="4">
        <v>0</v>
      </c>
      <c r="M103" s="4">
        <v>0</v>
      </c>
      <c r="N103" s="4">
        <v>0</v>
      </c>
      <c r="O103" s="4">
        <v>0</v>
      </c>
      <c r="P103" s="4">
        <v>0</v>
      </c>
    </row>
    <row r="104" spans="1:16" ht="19.5" customHeight="1" x14ac:dyDescent="0.15">
      <c r="A104" s="2" t="s">
        <v>339</v>
      </c>
      <c r="B104" s="3" t="s">
        <v>109</v>
      </c>
      <c r="C104" s="11">
        <v>1</v>
      </c>
      <c r="D104" s="3" t="s">
        <v>340</v>
      </c>
      <c r="E104" s="3" t="s">
        <v>341</v>
      </c>
      <c r="F104" s="4">
        <v>0</v>
      </c>
      <c r="G104" s="4"/>
      <c r="H104" s="4">
        <v>0</v>
      </c>
      <c r="I104" s="4">
        <v>0</v>
      </c>
      <c r="J104" s="4">
        <v>0</v>
      </c>
      <c r="K104" s="4">
        <v>1</v>
      </c>
      <c r="L104" s="4">
        <v>0</v>
      </c>
      <c r="M104" s="4">
        <v>0</v>
      </c>
      <c r="N104" s="4">
        <v>0</v>
      </c>
      <c r="O104" s="4">
        <v>0</v>
      </c>
      <c r="P104" s="4">
        <v>0</v>
      </c>
    </row>
    <row r="105" spans="1:16" ht="19.5" customHeight="1" x14ac:dyDescent="0.15">
      <c r="A105" s="2" t="s">
        <v>342</v>
      </c>
      <c r="B105" s="3" t="s">
        <v>18</v>
      </c>
      <c r="C105" s="11">
        <v>5</v>
      </c>
      <c r="D105" s="3" t="s">
        <v>343</v>
      </c>
      <c r="E105" s="3" t="s">
        <v>344</v>
      </c>
      <c r="F105" s="4">
        <v>0</v>
      </c>
      <c r="G105" s="4"/>
      <c r="H105" s="4">
        <v>0</v>
      </c>
      <c r="I105" s="4">
        <v>0</v>
      </c>
      <c r="J105" s="4">
        <v>0</v>
      </c>
      <c r="K105" s="4">
        <v>0</v>
      </c>
      <c r="L105" s="4">
        <v>0</v>
      </c>
      <c r="M105" s="4">
        <v>0</v>
      </c>
      <c r="N105" s="4">
        <v>0</v>
      </c>
      <c r="O105" s="4">
        <v>0</v>
      </c>
      <c r="P105" s="4">
        <v>0</v>
      </c>
    </row>
    <row r="106" spans="1:16" ht="19.5" customHeight="1" x14ac:dyDescent="0.15">
      <c r="A106" s="2" t="s">
        <v>345</v>
      </c>
      <c r="B106" s="3" t="s">
        <v>132</v>
      </c>
      <c r="C106" s="11">
        <v>5</v>
      </c>
      <c r="D106" s="3" t="s">
        <v>346</v>
      </c>
      <c r="E106" s="3" t="s">
        <v>347</v>
      </c>
      <c r="F106" s="4">
        <v>0</v>
      </c>
      <c r="G106" s="4"/>
      <c r="H106" s="4">
        <v>0</v>
      </c>
      <c r="I106" s="4">
        <v>0</v>
      </c>
      <c r="J106" s="4">
        <v>0</v>
      </c>
      <c r="K106" s="4">
        <v>0</v>
      </c>
      <c r="L106" s="4">
        <v>0</v>
      </c>
      <c r="M106" s="4">
        <v>0</v>
      </c>
      <c r="N106" s="4">
        <v>0</v>
      </c>
      <c r="O106" s="4">
        <v>0</v>
      </c>
      <c r="P106" s="4">
        <v>0</v>
      </c>
    </row>
    <row r="107" spans="1:16" ht="19.5" customHeight="1" x14ac:dyDescent="0.15">
      <c r="A107" s="2" t="s">
        <v>348</v>
      </c>
      <c r="B107" s="3" t="s">
        <v>63</v>
      </c>
      <c r="C107" s="11">
        <v>1</v>
      </c>
      <c r="D107" s="3" t="s">
        <v>349</v>
      </c>
      <c r="E107" s="3" t="s">
        <v>350</v>
      </c>
      <c r="F107" s="4">
        <v>0</v>
      </c>
      <c r="G107" s="4"/>
      <c r="H107" s="4">
        <v>0</v>
      </c>
      <c r="I107" s="4">
        <v>1</v>
      </c>
      <c r="J107" s="4">
        <v>0</v>
      </c>
      <c r="K107" s="4">
        <v>0</v>
      </c>
      <c r="L107" s="4">
        <v>1</v>
      </c>
      <c r="M107" s="4">
        <v>0</v>
      </c>
      <c r="N107" s="4">
        <v>0</v>
      </c>
      <c r="O107" s="4">
        <v>0</v>
      </c>
      <c r="P107" s="4">
        <v>0</v>
      </c>
    </row>
    <row r="108" spans="1:16" ht="19.5" customHeight="1" x14ac:dyDescent="0.15">
      <c r="A108" s="2" t="s">
        <v>351</v>
      </c>
      <c r="B108" s="3" t="s">
        <v>14</v>
      </c>
      <c r="C108" s="11">
        <v>5</v>
      </c>
      <c r="D108" s="3" t="s">
        <v>352</v>
      </c>
      <c r="E108" s="3" t="s">
        <v>353</v>
      </c>
      <c r="F108" s="4">
        <v>0</v>
      </c>
      <c r="G108" s="4"/>
      <c r="H108" s="4">
        <v>0</v>
      </c>
      <c r="I108" s="4">
        <v>0</v>
      </c>
      <c r="J108" s="4">
        <v>0</v>
      </c>
      <c r="K108" s="4">
        <v>0</v>
      </c>
      <c r="L108" s="4">
        <v>0</v>
      </c>
      <c r="M108" s="4">
        <v>0</v>
      </c>
      <c r="N108" s="4">
        <v>0</v>
      </c>
      <c r="O108" s="4">
        <v>0</v>
      </c>
      <c r="P108" s="4">
        <v>0</v>
      </c>
    </row>
    <row r="109" spans="1:16" ht="19.5" customHeight="1" x14ac:dyDescent="0.15">
      <c r="A109" s="2" t="s">
        <v>354</v>
      </c>
      <c r="B109" s="3" t="s">
        <v>33</v>
      </c>
      <c r="C109" s="11">
        <v>5</v>
      </c>
      <c r="D109" s="3" t="s">
        <v>355</v>
      </c>
      <c r="E109" s="3" t="s">
        <v>356</v>
      </c>
      <c r="F109" s="4">
        <v>0</v>
      </c>
      <c r="G109" s="4"/>
      <c r="H109" s="4">
        <v>0</v>
      </c>
      <c r="I109" s="4">
        <v>0</v>
      </c>
      <c r="J109" s="4">
        <v>0</v>
      </c>
      <c r="K109" s="4">
        <v>0</v>
      </c>
      <c r="L109" s="4">
        <v>0</v>
      </c>
      <c r="M109" s="4">
        <v>0</v>
      </c>
      <c r="N109" s="4">
        <v>0</v>
      </c>
      <c r="O109" s="4">
        <v>0</v>
      </c>
      <c r="P109" s="4">
        <v>0</v>
      </c>
    </row>
    <row r="110" spans="1:16" ht="36.75" customHeight="1" x14ac:dyDescent="0.15">
      <c r="A110" s="2" t="s">
        <v>357</v>
      </c>
      <c r="B110" s="3" t="s">
        <v>119</v>
      </c>
      <c r="C110" s="11">
        <v>1</v>
      </c>
      <c r="D110" s="3" t="s">
        <v>358</v>
      </c>
      <c r="E110" s="5" t="s">
        <v>359</v>
      </c>
      <c r="F110" s="4">
        <v>1</v>
      </c>
      <c r="G110" s="4"/>
      <c r="H110" s="4">
        <v>0</v>
      </c>
      <c r="I110" s="4">
        <v>0</v>
      </c>
      <c r="J110" s="4">
        <v>0</v>
      </c>
      <c r="K110" s="4">
        <v>0</v>
      </c>
      <c r="L110" s="4">
        <v>0</v>
      </c>
      <c r="M110" s="4">
        <v>0</v>
      </c>
      <c r="N110" s="4">
        <v>0</v>
      </c>
      <c r="O110" s="4">
        <v>0</v>
      </c>
      <c r="P110" s="4">
        <v>0</v>
      </c>
    </row>
    <row r="111" spans="1:16" ht="19.5" customHeight="1" x14ac:dyDescent="0.15">
      <c r="A111" s="2" t="s">
        <v>360</v>
      </c>
      <c r="B111" s="3" t="s">
        <v>132</v>
      </c>
      <c r="C111" s="11">
        <v>5</v>
      </c>
      <c r="D111" s="3" t="s">
        <v>361</v>
      </c>
      <c r="E111" s="3" t="s">
        <v>362</v>
      </c>
      <c r="F111" s="4">
        <v>0</v>
      </c>
      <c r="G111" s="4"/>
      <c r="H111" s="4">
        <v>0</v>
      </c>
      <c r="I111" s="4">
        <v>0</v>
      </c>
      <c r="J111" s="4">
        <v>0</v>
      </c>
      <c r="K111" s="4">
        <v>0</v>
      </c>
      <c r="L111" s="4">
        <v>0</v>
      </c>
      <c r="M111" s="4">
        <v>0</v>
      </c>
      <c r="N111" s="4">
        <v>0</v>
      </c>
      <c r="O111" s="4">
        <v>0</v>
      </c>
      <c r="P111" s="4">
        <v>0</v>
      </c>
    </row>
    <row r="112" spans="1:16" ht="19.5" customHeight="1" x14ac:dyDescent="0.15">
      <c r="A112" s="2" t="s">
        <v>363</v>
      </c>
      <c r="B112" s="3" t="s">
        <v>33</v>
      </c>
      <c r="C112" s="11">
        <v>4</v>
      </c>
      <c r="D112" s="3" t="s">
        <v>364</v>
      </c>
      <c r="E112" s="3" t="s">
        <v>365</v>
      </c>
      <c r="F112" s="4">
        <v>0</v>
      </c>
      <c r="G112" s="4"/>
      <c r="H112" s="4">
        <v>0</v>
      </c>
      <c r="I112" s="4">
        <v>0</v>
      </c>
      <c r="J112" s="4">
        <v>0</v>
      </c>
      <c r="K112" s="4">
        <v>0</v>
      </c>
      <c r="L112" s="4">
        <v>0</v>
      </c>
      <c r="M112" s="4">
        <v>0</v>
      </c>
      <c r="N112" s="4">
        <v>0</v>
      </c>
      <c r="O112" s="4">
        <v>0</v>
      </c>
      <c r="P112" s="4">
        <v>0</v>
      </c>
    </row>
    <row r="113" spans="1:16" ht="19.5" customHeight="1" x14ac:dyDescent="0.15">
      <c r="A113" s="2" t="s">
        <v>366</v>
      </c>
      <c r="B113" s="3" t="s">
        <v>84</v>
      </c>
      <c r="C113" s="11">
        <v>5</v>
      </c>
      <c r="D113" s="3" t="s">
        <v>367</v>
      </c>
      <c r="E113" s="3" t="s">
        <v>368</v>
      </c>
      <c r="F113" s="4">
        <v>0</v>
      </c>
      <c r="G113" s="4"/>
      <c r="H113" s="4">
        <v>0</v>
      </c>
      <c r="I113" s="4">
        <v>0</v>
      </c>
      <c r="J113" s="4">
        <v>0</v>
      </c>
      <c r="K113" s="4">
        <v>0</v>
      </c>
      <c r="L113" s="4">
        <v>0</v>
      </c>
      <c r="M113" s="4">
        <v>0</v>
      </c>
      <c r="N113" s="4">
        <v>0</v>
      </c>
      <c r="O113" s="4">
        <v>0</v>
      </c>
      <c r="P113" s="4">
        <v>0</v>
      </c>
    </row>
    <row r="114" spans="1:16" ht="43.5" customHeight="1" x14ac:dyDescent="0.15">
      <c r="A114" s="2" t="s">
        <v>369</v>
      </c>
      <c r="B114" s="3" t="s">
        <v>45</v>
      </c>
      <c r="C114" s="11">
        <v>3</v>
      </c>
      <c r="D114" s="3" t="s">
        <v>370</v>
      </c>
      <c r="E114" s="5" t="s">
        <v>371</v>
      </c>
      <c r="F114" s="4">
        <v>0</v>
      </c>
      <c r="G114" s="4"/>
      <c r="H114" s="4">
        <v>0</v>
      </c>
      <c r="I114" s="4">
        <v>1</v>
      </c>
      <c r="J114" s="4">
        <v>0</v>
      </c>
      <c r="K114" s="4">
        <v>1</v>
      </c>
      <c r="L114" s="4">
        <v>0</v>
      </c>
      <c r="M114" s="4">
        <v>0</v>
      </c>
      <c r="N114" s="4">
        <v>0</v>
      </c>
      <c r="O114" s="4">
        <v>0</v>
      </c>
      <c r="P114" s="4">
        <v>0</v>
      </c>
    </row>
    <row r="115" spans="1:16" ht="19.5" customHeight="1" x14ac:dyDescent="0.15">
      <c r="A115" s="2" t="s">
        <v>372</v>
      </c>
      <c r="B115" s="3" t="s">
        <v>26</v>
      </c>
      <c r="C115" s="11">
        <v>5</v>
      </c>
      <c r="D115" s="3" t="s">
        <v>373</v>
      </c>
      <c r="E115" s="3" t="s">
        <v>374</v>
      </c>
      <c r="F115" s="4">
        <v>0</v>
      </c>
      <c r="G115" s="4"/>
      <c r="H115" s="4">
        <v>0</v>
      </c>
      <c r="I115" s="4">
        <v>0</v>
      </c>
      <c r="J115" s="4">
        <v>0</v>
      </c>
      <c r="K115" s="4">
        <v>0</v>
      </c>
      <c r="L115" s="4">
        <v>0</v>
      </c>
      <c r="M115" s="4">
        <v>0</v>
      </c>
      <c r="N115" s="4">
        <v>0</v>
      </c>
      <c r="O115" s="4">
        <v>0</v>
      </c>
      <c r="P115" s="4">
        <v>0</v>
      </c>
    </row>
    <row r="116" spans="1:16" ht="19.5" customHeight="1" x14ac:dyDescent="0.15">
      <c r="A116" s="2" t="s">
        <v>375</v>
      </c>
      <c r="B116" s="3" t="s">
        <v>33</v>
      </c>
      <c r="C116" s="11">
        <v>2</v>
      </c>
      <c r="D116" s="3" t="s">
        <v>376</v>
      </c>
      <c r="E116" s="3" t="s">
        <v>377</v>
      </c>
      <c r="F116" s="4">
        <v>0</v>
      </c>
      <c r="G116" s="4"/>
      <c r="H116" s="4">
        <v>0</v>
      </c>
      <c r="I116" s="4">
        <v>0</v>
      </c>
      <c r="J116" s="4">
        <v>0</v>
      </c>
      <c r="K116" s="4">
        <v>1</v>
      </c>
      <c r="L116" s="4">
        <v>1</v>
      </c>
      <c r="M116" s="4">
        <v>1</v>
      </c>
      <c r="N116" s="4">
        <v>0</v>
      </c>
      <c r="O116" s="4">
        <v>0</v>
      </c>
      <c r="P116" s="4">
        <v>0</v>
      </c>
    </row>
    <row r="117" spans="1:16" ht="19.5" customHeight="1" x14ac:dyDescent="0.15">
      <c r="A117" s="2" t="s">
        <v>378</v>
      </c>
      <c r="B117" s="3" t="s">
        <v>18</v>
      </c>
      <c r="C117" s="11">
        <v>5</v>
      </c>
      <c r="D117" s="3" t="s">
        <v>379</v>
      </c>
      <c r="E117" s="3" t="s">
        <v>380</v>
      </c>
      <c r="F117" s="4">
        <v>0</v>
      </c>
      <c r="G117" s="4"/>
      <c r="H117" s="4">
        <v>0</v>
      </c>
      <c r="I117" s="4">
        <v>0</v>
      </c>
      <c r="J117" s="4">
        <v>0</v>
      </c>
      <c r="K117" s="4">
        <v>0</v>
      </c>
      <c r="L117" s="4">
        <v>0</v>
      </c>
      <c r="M117" s="4">
        <v>0</v>
      </c>
      <c r="N117" s="4">
        <v>0</v>
      </c>
      <c r="O117" s="4">
        <v>0</v>
      </c>
      <c r="P117" s="4">
        <v>0</v>
      </c>
    </row>
    <row r="118" spans="1:16" ht="19.5" customHeight="1" x14ac:dyDescent="0.15">
      <c r="A118" s="2" t="s">
        <v>381</v>
      </c>
      <c r="B118" s="3" t="s">
        <v>45</v>
      </c>
      <c r="C118" s="11">
        <v>4</v>
      </c>
      <c r="D118" s="3" t="s">
        <v>382</v>
      </c>
      <c r="E118" s="3" t="s">
        <v>383</v>
      </c>
      <c r="F118" s="4">
        <v>0</v>
      </c>
      <c r="G118" s="4"/>
      <c r="H118" s="4">
        <v>0</v>
      </c>
      <c r="I118" s="4">
        <v>0</v>
      </c>
      <c r="J118" s="4">
        <v>0</v>
      </c>
      <c r="K118" s="4">
        <v>0</v>
      </c>
      <c r="L118" s="4">
        <v>0</v>
      </c>
      <c r="M118" s="4">
        <v>0</v>
      </c>
      <c r="N118" s="4">
        <v>0</v>
      </c>
      <c r="O118" s="4">
        <v>1</v>
      </c>
      <c r="P118" s="4">
        <v>0</v>
      </c>
    </row>
    <row r="119" spans="1:16" ht="19.5" customHeight="1" x14ac:dyDescent="0.15">
      <c r="A119" s="2" t="s">
        <v>384</v>
      </c>
      <c r="B119" s="3" t="s">
        <v>216</v>
      </c>
      <c r="C119" s="11">
        <v>5</v>
      </c>
      <c r="D119" s="3" t="s">
        <v>385</v>
      </c>
      <c r="E119" s="3" t="s">
        <v>386</v>
      </c>
      <c r="F119" s="4">
        <v>0</v>
      </c>
      <c r="G119" s="4"/>
      <c r="H119" s="4">
        <v>0</v>
      </c>
      <c r="I119" s="4">
        <v>0</v>
      </c>
      <c r="J119" s="4">
        <v>0</v>
      </c>
      <c r="K119" s="4">
        <v>0</v>
      </c>
      <c r="L119" s="4">
        <v>0</v>
      </c>
      <c r="M119" s="4">
        <v>0</v>
      </c>
      <c r="N119" s="4">
        <v>0</v>
      </c>
      <c r="O119" s="4">
        <v>0</v>
      </c>
      <c r="P119" s="4">
        <v>0</v>
      </c>
    </row>
    <row r="120" spans="1:16" ht="103.5" customHeight="1" x14ac:dyDescent="0.15">
      <c r="A120" s="2" t="s">
        <v>387</v>
      </c>
      <c r="B120" s="3" t="s">
        <v>77</v>
      </c>
      <c r="C120" s="11">
        <v>5</v>
      </c>
      <c r="D120" s="3" t="s">
        <v>388</v>
      </c>
      <c r="E120" s="5" t="s">
        <v>389</v>
      </c>
      <c r="F120" s="4">
        <v>0</v>
      </c>
      <c r="G120" s="4"/>
      <c r="H120" s="4">
        <v>0</v>
      </c>
      <c r="I120" s="4">
        <v>0</v>
      </c>
      <c r="J120" s="4">
        <v>0</v>
      </c>
      <c r="K120" s="4">
        <v>0</v>
      </c>
      <c r="L120" s="4">
        <v>0</v>
      </c>
      <c r="M120" s="4">
        <v>0</v>
      </c>
      <c r="N120" s="4">
        <v>0</v>
      </c>
      <c r="O120" s="4">
        <v>0</v>
      </c>
      <c r="P120" s="4">
        <v>0</v>
      </c>
    </row>
    <row r="121" spans="1:16" ht="19.5" customHeight="1" x14ac:dyDescent="0.15">
      <c r="A121" s="2" t="s">
        <v>390</v>
      </c>
      <c r="B121" s="3" t="s">
        <v>33</v>
      </c>
      <c r="C121" s="11">
        <v>4</v>
      </c>
      <c r="D121" s="3" t="s">
        <v>391</v>
      </c>
      <c r="E121" s="3" t="s">
        <v>392</v>
      </c>
      <c r="F121" s="4">
        <v>0</v>
      </c>
      <c r="G121" s="4"/>
      <c r="H121" s="4">
        <v>0</v>
      </c>
      <c r="I121" s="4">
        <v>0</v>
      </c>
      <c r="J121" s="4">
        <v>0</v>
      </c>
      <c r="K121" s="4">
        <v>0</v>
      </c>
      <c r="L121" s="4">
        <v>0</v>
      </c>
      <c r="M121" s="4">
        <v>0</v>
      </c>
      <c r="N121" s="4">
        <v>0</v>
      </c>
      <c r="O121" s="4">
        <v>0</v>
      </c>
      <c r="P121" s="4">
        <v>0</v>
      </c>
    </row>
    <row r="122" spans="1:16" ht="19.5" customHeight="1" x14ac:dyDescent="0.15">
      <c r="A122" s="2" t="s">
        <v>393</v>
      </c>
      <c r="B122" s="3" t="s">
        <v>132</v>
      </c>
      <c r="C122" s="11">
        <v>5</v>
      </c>
      <c r="D122" s="3" t="s">
        <v>394</v>
      </c>
      <c r="E122" s="3" t="s">
        <v>395</v>
      </c>
      <c r="F122" s="4">
        <v>0</v>
      </c>
      <c r="G122" s="4"/>
      <c r="H122" s="4">
        <v>0</v>
      </c>
      <c r="I122" s="4">
        <v>0</v>
      </c>
      <c r="J122" s="4">
        <v>0</v>
      </c>
      <c r="K122" s="4">
        <v>0</v>
      </c>
      <c r="L122" s="4">
        <v>0</v>
      </c>
      <c r="M122" s="4">
        <v>0</v>
      </c>
      <c r="N122" s="4">
        <v>0</v>
      </c>
      <c r="O122" s="4">
        <v>0</v>
      </c>
      <c r="P122" s="4">
        <v>0</v>
      </c>
    </row>
    <row r="123" spans="1:16" ht="43.5" customHeight="1" x14ac:dyDescent="0.15">
      <c r="A123" s="2" t="s">
        <v>396</v>
      </c>
      <c r="B123" s="3" t="s">
        <v>119</v>
      </c>
      <c r="C123" s="11">
        <v>1</v>
      </c>
      <c r="D123" s="3" t="s">
        <v>397</v>
      </c>
      <c r="E123" s="5" t="s">
        <v>398</v>
      </c>
      <c r="F123" s="4">
        <v>1</v>
      </c>
      <c r="G123" s="4"/>
      <c r="H123" s="4">
        <v>0</v>
      </c>
      <c r="I123" s="4">
        <v>1</v>
      </c>
      <c r="J123" s="4">
        <v>0</v>
      </c>
      <c r="K123" s="4">
        <v>1</v>
      </c>
      <c r="L123" s="4">
        <v>0</v>
      </c>
      <c r="M123" s="4">
        <v>0</v>
      </c>
      <c r="N123" s="4">
        <v>0</v>
      </c>
      <c r="O123" s="4">
        <v>0</v>
      </c>
      <c r="P123" s="4">
        <v>0</v>
      </c>
    </row>
    <row r="124" spans="1:16" ht="19.5" customHeight="1" x14ac:dyDescent="0.15">
      <c r="A124" s="2" t="s">
        <v>399</v>
      </c>
      <c r="B124" s="3" t="s">
        <v>22</v>
      </c>
      <c r="C124" s="11">
        <v>4</v>
      </c>
      <c r="D124" s="3" t="s">
        <v>400</v>
      </c>
      <c r="E124" s="3" t="s">
        <v>401</v>
      </c>
      <c r="F124" s="4">
        <v>1</v>
      </c>
      <c r="G124" s="4"/>
      <c r="H124" s="4">
        <v>0</v>
      </c>
      <c r="I124" s="4">
        <v>1</v>
      </c>
      <c r="J124" s="4">
        <v>0</v>
      </c>
      <c r="K124" s="4">
        <v>0</v>
      </c>
      <c r="L124" s="4">
        <v>0</v>
      </c>
      <c r="M124" s="4">
        <v>0</v>
      </c>
      <c r="N124" s="4">
        <v>0</v>
      </c>
      <c r="O124" s="4">
        <v>0</v>
      </c>
      <c r="P124" s="4">
        <v>0</v>
      </c>
    </row>
    <row r="125" spans="1:16" ht="19.5" customHeight="1" x14ac:dyDescent="0.15">
      <c r="A125" s="2" t="s">
        <v>402</v>
      </c>
      <c r="B125" s="3" t="s">
        <v>132</v>
      </c>
      <c r="C125" s="11">
        <v>5</v>
      </c>
      <c r="D125" s="3" t="s">
        <v>403</v>
      </c>
      <c r="E125" s="3" t="s">
        <v>404</v>
      </c>
      <c r="F125" s="4">
        <v>0</v>
      </c>
      <c r="G125" s="4"/>
      <c r="H125" s="4">
        <v>0</v>
      </c>
      <c r="I125" s="4">
        <v>0</v>
      </c>
      <c r="J125" s="4">
        <v>0</v>
      </c>
      <c r="K125" s="4">
        <v>0</v>
      </c>
      <c r="L125" s="4">
        <v>0</v>
      </c>
      <c r="M125" s="4">
        <v>0</v>
      </c>
      <c r="N125" s="4">
        <v>0</v>
      </c>
      <c r="O125" s="4">
        <v>0</v>
      </c>
      <c r="P125" s="4">
        <v>0</v>
      </c>
    </row>
    <row r="126" spans="1:16" ht="19.5" customHeight="1" x14ac:dyDescent="0.15">
      <c r="A126" s="2" t="s">
        <v>405</v>
      </c>
      <c r="B126" s="3" t="s">
        <v>56</v>
      </c>
      <c r="C126" s="11">
        <v>2</v>
      </c>
      <c r="D126" s="3" t="s">
        <v>406</v>
      </c>
      <c r="E126" s="3" t="s">
        <v>407</v>
      </c>
      <c r="F126" s="4">
        <v>0</v>
      </c>
      <c r="G126" s="4"/>
      <c r="H126" s="4">
        <v>0</v>
      </c>
      <c r="I126" s="4">
        <v>1</v>
      </c>
      <c r="J126" s="4">
        <v>0</v>
      </c>
      <c r="K126" s="4">
        <v>0</v>
      </c>
      <c r="L126" s="4">
        <v>0</v>
      </c>
      <c r="M126" s="4">
        <v>0</v>
      </c>
      <c r="N126" s="4">
        <v>0</v>
      </c>
      <c r="O126" s="4">
        <v>0</v>
      </c>
      <c r="P126" s="4">
        <v>0</v>
      </c>
    </row>
    <row r="127" spans="1:16" ht="19.5" customHeight="1" x14ac:dyDescent="0.15">
      <c r="A127" s="2" t="s">
        <v>408</v>
      </c>
      <c r="B127" s="3" t="s">
        <v>63</v>
      </c>
      <c r="C127" s="11">
        <v>5</v>
      </c>
      <c r="D127" s="3" t="s">
        <v>409</v>
      </c>
      <c r="E127" s="3" t="s">
        <v>410</v>
      </c>
      <c r="F127" s="4">
        <v>0</v>
      </c>
      <c r="G127" s="4"/>
      <c r="H127" s="4">
        <v>0</v>
      </c>
      <c r="I127" s="4">
        <v>0</v>
      </c>
      <c r="J127" s="4">
        <v>0</v>
      </c>
      <c r="K127" s="4">
        <v>0</v>
      </c>
      <c r="L127" s="4">
        <v>0</v>
      </c>
      <c r="M127" s="4">
        <v>0</v>
      </c>
      <c r="N127" s="4">
        <v>0</v>
      </c>
      <c r="O127" s="4">
        <v>0</v>
      </c>
      <c r="P127" s="4">
        <v>0</v>
      </c>
    </row>
    <row r="128" spans="1:16" ht="19.5" customHeight="1" x14ac:dyDescent="0.15">
      <c r="A128" s="2" t="s">
        <v>411</v>
      </c>
      <c r="B128" s="3" t="s">
        <v>119</v>
      </c>
      <c r="C128" s="11">
        <v>5</v>
      </c>
      <c r="D128" s="3" t="s">
        <v>412</v>
      </c>
      <c r="E128" s="3" t="s">
        <v>413</v>
      </c>
      <c r="F128" s="4">
        <v>0</v>
      </c>
      <c r="G128" s="4"/>
      <c r="H128" s="4">
        <v>0</v>
      </c>
      <c r="I128" s="4">
        <v>0</v>
      </c>
      <c r="J128" s="4">
        <v>0</v>
      </c>
      <c r="K128" s="4">
        <v>0</v>
      </c>
      <c r="L128" s="4">
        <v>0</v>
      </c>
      <c r="M128" s="4">
        <v>0</v>
      </c>
      <c r="N128" s="4">
        <v>0</v>
      </c>
      <c r="O128" s="4">
        <v>0</v>
      </c>
      <c r="P128" s="4">
        <v>0</v>
      </c>
    </row>
    <row r="129" spans="1:16" ht="19.5" customHeight="1" x14ac:dyDescent="0.15">
      <c r="A129" s="2" t="s">
        <v>414</v>
      </c>
      <c r="B129" s="3" t="s">
        <v>26</v>
      </c>
      <c r="C129" s="11">
        <v>5</v>
      </c>
      <c r="D129" s="3" t="s">
        <v>415</v>
      </c>
      <c r="E129" s="3" t="s">
        <v>416</v>
      </c>
      <c r="F129" s="4">
        <v>0</v>
      </c>
      <c r="G129" s="4"/>
      <c r="H129" s="4">
        <v>0</v>
      </c>
      <c r="I129" s="4">
        <v>0</v>
      </c>
      <c r="J129" s="4">
        <v>0</v>
      </c>
      <c r="K129" s="4">
        <v>0</v>
      </c>
      <c r="L129" s="4">
        <v>1</v>
      </c>
      <c r="M129" s="4">
        <v>1</v>
      </c>
      <c r="N129" s="4">
        <v>0</v>
      </c>
      <c r="O129" s="4">
        <v>0</v>
      </c>
      <c r="P129" s="4">
        <v>0</v>
      </c>
    </row>
    <row r="130" spans="1:16" ht="19.5" customHeight="1" x14ac:dyDescent="0.15">
      <c r="A130" s="2" t="s">
        <v>417</v>
      </c>
      <c r="B130" s="3" t="s">
        <v>95</v>
      </c>
      <c r="C130" s="11">
        <v>1</v>
      </c>
      <c r="D130" s="3" t="s">
        <v>418</v>
      </c>
      <c r="E130" s="3" t="s">
        <v>419</v>
      </c>
      <c r="F130" s="4">
        <v>0</v>
      </c>
      <c r="G130" s="4"/>
      <c r="H130" s="4">
        <v>0</v>
      </c>
      <c r="I130" s="4">
        <v>0</v>
      </c>
      <c r="J130" s="4">
        <v>0</v>
      </c>
      <c r="K130" s="4">
        <v>0</v>
      </c>
      <c r="L130" s="4">
        <v>0</v>
      </c>
      <c r="M130" s="4">
        <v>0</v>
      </c>
      <c r="N130" s="4">
        <v>0</v>
      </c>
      <c r="O130" s="4">
        <v>1</v>
      </c>
      <c r="P130" s="4">
        <v>0</v>
      </c>
    </row>
    <row r="131" spans="1:16" ht="31.5" customHeight="1" x14ac:dyDescent="0.15">
      <c r="A131" s="2" t="s">
        <v>420</v>
      </c>
      <c r="B131" s="3" t="s">
        <v>33</v>
      </c>
      <c r="C131" s="11">
        <v>4</v>
      </c>
      <c r="D131" s="3" t="s">
        <v>421</v>
      </c>
      <c r="E131" s="5" t="s">
        <v>422</v>
      </c>
      <c r="F131" s="4">
        <v>0</v>
      </c>
      <c r="G131" s="4"/>
      <c r="H131" s="4">
        <v>0</v>
      </c>
      <c r="I131" s="4">
        <v>0</v>
      </c>
      <c r="J131" s="4">
        <v>0</v>
      </c>
      <c r="K131" s="4">
        <v>0</v>
      </c>
      <c r="L131" s="4">
        <v>0</v>
      </c>
      <c r="M131" s="4">
        <v>0</v>
      </c>
      <c r="N131" s="4">
        <v>0</v>
      </c>
      <c r="O131" s="4">
        <v>0</v>
      </c>
      <c r="P131" s="4">
        <v>0</v>
      </c>
    </row>
    <row r="132" spans="1:16" ht="19.5" customHeight="1" x14ac:dyDescent="0.15">
      <c r="A132" s="2" t="s">
        <v>423</v>
      </c>
      <c r="B132" s="3" t="s">
        <v>56</v>
      </c>
      <c r="C132" s="11">
        <v>5</v>
      </c>
      <c r="D132" s="3" t="s">
        <v>424</v>
      </c>
      <c r="E132" s="3" t="s">
        <v>425</v>
      </c>
      <c r="F132" s="4">
        <v>0</v>
      </c>
      <c r="G132" s="4"/>
      <c r="H132" s="4">
        <v>0</v>
      </c>
      <c r="I132" s="4">
        <v>0</v>
      </c>
      <c r="J132" s="4">
        <v>0</v>
      </c>
      <c r="K132" s="4">
        <v>0</v>
      </c>
      <c r="L132" s="4">
        <v>0</v>
      </c>
      <c r="M132" s="4">
        <v>0</v>
      </c>
      <c r="N132" s="4">
        <v>0</v>
      </c>
      <c r="O132" s="4">
        <v>0</v>
      </c>
      <c r="P132" s="4">
        <v>0</v>
      </c>
    </row>
    <row r="133" spans="1:16" ht="19.5" customHeight="1" x14ac:dyDescent="0.15">
      <c r="A133" s="2" t="s">
        <v>426</v>
      </c>
      <c r="B133" s="3" t="s">
        <v>132</v>
      </c>
      <c r="C133" s="11">
        <v>5</v>
      </c>
      <c r="D133" s="3" t="s">
        <v>427</v>
      </c>
      <c r="E133" s="3" t="s">
        <v>428</v>
      </c>
      <c r="F133" s="4">
        <v>0</v>
      </c>
      <c r="G133" s="4"/>
      <c r="H133" s="4">
        <v>0</v>
      </c>
      <c r="I133" s="4">
        <v>0</v>
      </c>
      <c r="J133" s="4">
        <v>0</v>
      </c>
      <c r="K133" s="4">
        <v>0</v>
      </c>
      <c r="L133" s="4">
        <v>0</v>
      </c>
      <c r="M133" s="4">
        <v>0</v>
      </c>
      <c r="N133" s="4">
        <v>0</v>
      </c>
      <c r="O133" s="4">
        <v>0</v>
      </c>
      <c r="P133" s="4">
        <v>0</v>
      </c>
    </row>
    <row r="134" spans="1:16" ht="19.5" customHeight="1" x14ac:dyDescent="0.15">
      <c r="A134" s="2" t="s">
        <v>429</v>
      </c>
      <c r="B134" s="3" t="s">
        <v>45</v>
      </c>
      <c r="C134" s="11">
        <v>1</v>
      </c>
      <c r="D134" s="3" t="s">
        <v>430</v>
      </c>
      <c r="E134" s="3" t="s">
        <v>431</v>
      </c>
      <c r="F134" s="4">
        <v>0</v>
      </c>
      <c r="G134" s="4"/>
      <c r="H134" s="4">
        <v>0</v>
      </c>
      <c r="I134" s="4">
        <v>0</v>
      </c>
      <c r="J134" s="4">
        <v>0</v>
      </c>
      <c r="K134" s="4">
        <v>1</v>
      </c>
      <c r="L134" s="4">
        <v>0</v>
      </c>
      <c r="M134" s="4">
        <v>0</v>
      </c>
      <c r="N134" s="4">
        <v>0</v>
      </c>
      <c r="O134" s="4">
        <v>1</v>
      </c>
      <c r="P134" s="4">
        <v>0</v>
      </c>
    </row>
    <row r="135" spans="1:16" ht="259.5" customHeight="1" x14ac:dyDescent="0.15">
      <c r="A135" s="2" t="s">
        <v>432</v>
      </c>
      <c r="B135" s="3" t="s">
        <v>41</v>
      </c>
      <c r="C135" s="11">
        <v>5</v>
      </c>
      <c r="D135" s="3" t="s">
        <v>433</v>
      </c>
      <c r="E135" s="5" t="s">
        <v>434</v>
      </c>
      <c r="F135" s="4">
        <v>0</v>
      </c>
      <c r="G135" s="4"/>
      <c r="H135" s="4">
        <v>0</v>
      </c>
      <c r="I135" s="4">
        <v>0</v>
      </c>
      <c r="J135" s="4">
        <v>0</v>
      </c>
      <c r="K135" s="4">
        <v>0</v>
      </c>
      <c r="L135" s="4">
        <v>0</v>
      </c>
      <c r="M135" s="4">
        <v>0</v>
      </c>
      <c r="N135" s="4">
        <v>0</v>
      </c>
      <c r="O135" s="4">
        <v>0</v>
      </c>
      <c r="P135" s="4">
        <v>0</v>
      </c>
    </row>
    <row r="136" spans="1:16" ht="31.5" customHeight="1" x14ac:dyDescent="0.15">
      <c r="A136" s="2" t="s">
        <v>435</v>
      </c>
      <c r="B136" s="3" t="s">
        <v>41</v>
      </c>
      <c r="C136" s="11">
        <v>1</v>
      </c>
      <c r="D136" s="3" t="s">
        <v>436</v>
      </c>
      <c r="E136" s="5" t="s">
        <v>437</v>
      </c>
      <c r="F136" s="4">
        <v>1</v>
      </c>
      <c r="G136" s="4"/>
      <c r="H136" s="4">
        <v>0</v>
      </c>
      <c r="I136" s="4">
        <v>0</v>
      </c>
      <c r="J136" s="4">
        <v>0</v>
      </c>
      <c r="K136" s="4">
        <v>0</v>
      </c>
      <c r="L136" s="4">
        <v>0</v>
      </c>
      <c r="M136" s="4">
        <v>0</v>
      </c>
      <c r="N136" s="4">
        <v>0</v>
      </c>
      <c r="O136" s="4">
        <v>0</v>
      </c>
      <c r="P136" s="4">
        <v>0</v>
      </c>
    </row>
    <row r="137" spans="1:16" ht="19.5" customHeight="1" x14ac:dyDescent="0.15">
      <c r="A137" s="2" t="s">
        <v>438</v>
      </c>
      <c r="B137" s="3" t="s">
        <v>148</v>
      </c>
      <c r="C137" s="11">
        <v>3</v>
      </c>
      <c r="D137" s="3" t="s">
        <v>439</v>
      </c>
      <c r="E137" s="3" t="s">
        <v>440</v>
      </c>
      <c r="F137" s="4">
        <v>0</v>
      </c>
      <c r="G137" s="4"/>
      <c r="H137" s="4">
        <v>0</v>
      </c>
      <c r="I137" s="4">
        <v>0</v>
      </c>
      <c r="J137" s="4">
        <v>0</v>
      </c>
      <c r="K137" s="4">
        <v>1</v>
      </c>
      <c r="L137" s="4">
        <v>0</v>
      </c>
      <c r="M137" s="4">
        <v>0</v>
      </c>
      <c r="N137" s="4">
        <v>0</v>
      </c>
      <c r="O137" s="4">
        <v>0</v>
      </c>
      <c r="P137" s="4">
        <v>0</v>
      </c>
    </row>
    <row r="138" spans="1:16" ht="19.5" customHeight="1" x14ac:dyDescent="0.15">
      <c r="A138" s="2" t="s">
        <v>441</v>
      </c>
      <c r="B138" s="3" t="s">
        <v>84</v>
      </c>
      <c r="C138" s="11">
        <v>5</v>
      </c>
      <c r="D138" s="3" t="s">
        <v>442</v>
      </c>
      <c r="E138" s="3" t="s">
        <v>443</v>
      </c>
      <c r="F138" s="4">
        <v>0</v>
      </c>
      <c r="G138" s="4"/>
      <c r="H138" s="4">
        <v>0</v>
      </c>
      <c r="I138" s="4">
        <v>0</v>
      </c>
      <c r="J138" s="4">
        <v>0</v>
      </c>
      <c r="K138" s="4">
        <v>0</v>
      </c>
      <c r="L138" s="4">
        <v>0</v>
      </c>
      <c r="M138" s="4">
        <v>0</v>
      </c>
      <c r="N138" s="4">
        <v>0</v>
      </c>
      <c r="O138" s="4">
        <v>0</v>
      </c>
      <c r="P138" s="4">
        <v>0</v>
      </c>
    </row>
    <row r="139" spans="1:16" ht="19.5" customHeight="1" x14ac:dyDescent="0.15">
      <c r="A139" s="2" t="s">
        <v>444</v>
      </c>
      <c r="B139" s="3" t="s">
        <v>56</v>
      </c>
      <c r="C139" s="11">
        <v>5</v>
      </c>
      <c r="D139" s="3" t="s">
        <v>445</v>
      </c>
      <c r="E139" s="3" t="s">
        <v>446</v>
      </c>
      <c r="F139" s="4">
        <v>0</v>
      </c>
      <c r="G139" s="4"/>
      <c r="H139" s="4">
        <v>0</v>
      </c>
      <c r="I139" s="4">
        <v>0</v>
      </c>
      <c r="J139" s="4">
        <v>0</v>
      </c>
      <c r="K139" s="4">
        <v>0</v>
      </c>
      <c r="L139" s="4">
        <v>0</v>
      </c>
      <c r="M139" s="4">
        <v>0</v>
      </c>
      <c r="N139" s="4">
        <v>0</v>
      </c>
      <c r="O139" s="4">
        <v>0</v>
      </c>
      <c r="P139" s="4">
        <v>0</v>
      </c>
    </row>
    <row r="140" spans="1:16" ht="31.5" customHeight="1" x14ac:dyDescent="0.15">
      <c r="A140" s="2" t="s">
        <v>447</v>
      </c>
      <c r="B140" s="3" t="s">
        <v>14</v>
      </c>
      <c r="C140" s="11">
        <v>5</v>
      </c>
      <c r="D140" s="3" t="s">
        <v>448</v>
      </c>
      <c r="E140" s="5" t="s">
        <v>449</v>
      </c>
      <c r="F140" s="4">
        <v>0</v>
      </c>
      <c r="G140" s="4"/>
      <c r="H140" s="4">
        <v>0</v>
      </c>
      <c r="I140" s="4">
        <v>0</v>
      </c>
      <c r="J140" s="4">
        <v>0</v>
      </c>
      <c r="K140" s="4">
        <v>0</v>
      </c>
      <c r="L140" s="4">
        <v>0</v>
      </c>
      <c r="M140" s="4">
        <v>0</v>
      </c>
      <c r="N140" s="4">
        <v>0</v>
      </c>
      <c r="O140" s="4">
        <v>0</v>
      </c>
      <c r="P140" s="4">
        <v>0</v>
      </c>
    </row>
    <row r="141" spans="1:16" ht="19.5" customHeight="1" x14ac:dyDescent="0.15">
      <c r="A141" s="2" t="s">
        <v>450</v>
      </c>
      <c r="B141" s="3" t="s">
        <v>119</v>
      </c>
      <c r="C141" s="11">
        <v>5</v>
      </c>
      <c r="D141" s="3" t="s">
        <v>451</v>
      </c>
      <c r="E141" s="3" t="s">
        <v>452</v>
      </c>
      <c r="F141" s="4">
        <v>0</v>
      </c>
      <c r="G141" s="4"/>
      <c r="H141" s="4">
        <v>0</v>
      </c>
      <c r="I141" s="4">
        <v>0</v>
      </c>
      <c r="J141" s="4">
        <v>0</v>
      </c>
      <c r="K141" s="4">
        <v>1</v>
      </c>
      <c r="L141" s="4">
        <v>0</v>
      </c>
      <c r="M141" s="4">
        <v>0</v>
      </c>
      <c r="N141" s="4">
        <v>0</v>
      </c>
      <c r="O141" s="4">
        <v>0</v>
      </c>
      <c r="P141" s="4">
        <v>0</v>
      </c>
    </row>
    <row r="142" spans="1:16" ht="19.5" customHeight="1" x14ac:dyDescent="0.15">
      <c r="A142" s="2" t="s">
        <v>453</v>
      </c>
      <c r="B142" s="3" t="s">
        <v>109</v>
      </c>
      <c r="C142" s="11">
        <v>5</v>
      </c>
      <c r="D142" s="3" t="s">
        <v>454</v>
      </c>
      <c r="E142" s="3" t="s">
        <v>455</v>
      </c>
      <c r="F142" s="4">
        <v>0</v>
      </c>
      <c r="G142" s="4"/>
      <c r="H142" s="4">
        <v>0</v>
      </c>
      <c r="I142" s="4">
        <v>0</v>
      </c>
      <c r="J142" s="4">
        <v>0</v>
      </c>
      <c r="K142" s="4">
        <v>0</v>
      </c>
      <c r="L142" s="4">
        <v>0</v>
      </c>
      <c r="M142" s="4">
        <v>0</v>
      </c>
      <c r="N142" s="4">
        <v>0</v>
      </c>
      <c r="O142" s="4">
        <v>0</v>
      </c>
      <c r="P142" s="4">
        <v>0</v>
      </c>
    </row>
    <row r="143" spans="1:16" ht="19.5" customHeight="1" x14ac:dyDescent="0.15">
      <c r="A143" s="2" t="s">
        <v>456</v>
      </c>
      <c r="B143" s="3" t="s">
        <v>84</v>
      </c>
      <c r="C143" s="11">
        <v>5</v>
      </c>
      <c r="D143" s="3" t="s">
        <v>457</v>
      </c>
      <c r="E143" s="3" t="s">
        <v>458</v>
      </c>
      <c r="F143" s="4">
        <v>0</v>
      </c>
      <c r="G143" s="4"/>
      <c r="H143" s="4">
        <v>0</v>
      </c>
      <c r="I143" s="4">
        <v>0</v>
      </c>
      <c r="J143" s="4">
        <v>0</v>
      </c>
      <c r="K143" s="4">
        <v>0</v>
      </c>
      <c r="L143" s="4">
        <v>0</v>
      </c>
      <c r="M143" s="4">
        <v>0</v>
      </c>
      <c r="N143" s="4">
        <v>0</v>
      </c>
      <c r="O143" s="4">
        <v>0</v>
      </c>
      <c r="P143" s="4">
        <v>0</v>
      </c>
    </row>
    <row r="144" spans="1:16" ht="19.5" customHeight="1" x14ac:dyDescent="0.15">
      <c r="A144" s="2" t="s">
        <v>459</v>
      </c>
      <c r="B144" s="3" t="s">
        <v>84</v>
      </c>
      <c r="C144" s="11">
        <v>5</v>
      </c>
      <c r="D144" s="3" t="s">
        <v>460</v>
      </c>
      <c r="E144" s="3" t="s">
        <v>461</v>
      </c>
      <c r="F144" s="4">
        <v>0</v>
      </c>
      <c r="G144" s="4"/>
      <c r="H144" s="4">
        <v>0</v>
      </c>
      <c r="I144" s="4">
        <v>0</v>
      </c>
      <c r="J144" s="4">
        <v>0</v>
      </c>
      <c r="K144" s="4">
        <v>0</v>
      </c>
      <c r="L144" s="4">
        <v>0</v>
      </c>
      <c r="M144" s="4">
        <v>0</v>
      </c>
      <c r="N144" s="4">
        <v>0</v>
      </c>
      <c r="O144" s="4">
        <v>0</v>
      </c>
      <c r="P144" s="4">
        <v>0</v>
      </c>
    </row>
    <row r="145" spans="1:16" ht="19.5" customHeight="1" x14ac:dyDescent="0.15">
      <c r="A145" s="2" t="s">
        <v>462</v>
      </c>
      <c r="B145" s="3" t="s">
        <v>70</v>
      </c>
      <c r="C145" s="11">
        <v>5</v>
      </c>
      <c r="D145" s="3" t="s">
        <v>463</v>
      </c>
      <c r="E145" s="3" t="s">
        <v>464</v>
      </c>
      <c r="F145" s="4">
        <v>0</v>
      </c>
      <c r="G145" s="4"/>
      <c r="H145" s="4">
        <v>0</v>
      </c>
      <c r="I145" s="4">
        <v>0</v>
      </c>
      <c r="J145" s="4">
        <v>0</v>
      </c>
      <c r="K145" s="4">
        <v>0</v>
      </c>
      <c r="L145" s="4">
        <v>0</v>
      </c>
      <c r="M145" s="4">
        <v>0</v>
      </c>
      <c r="N145" s="4">
        <v>0</v>
      </c>
      <c r="O145" s="4">
        <v>0</v>
      </c>
      <c r="P145" s="4">
        <v>0</v>
      </c>
    </row>
    <row r="146" spans="1:16" ht="19.5" customHeight="1" x14ac:dyDescent="0.15">
      <c r="A146" s="2" t="s">
        <v>465</v>
      </c>
      <c r="B146" s="3" t="s">
        <v>161</v>
      </c>
      <c r="C146" s="11">
        <v>1</v>
      </c>
      <c r="D146" s="3" t="s">
        <v>466</v>
      </c>
      <c r="E146" s="3" t="s">
        <v>467</v>
      </c>
      <c r="F146" s="4">
        <v>0</v>
      </c>
      <c r="G146" s="4"/>
      <c r="H146" s="4">
        <v>0</v>
      </c>
      <c r="I146" s="4">
        <v>1</v>
      </c>
      <c r="J146" s="4">
        <v>0</v>
      </c>
      <c r="K146" s="4">
        <v>0</v>
      </c>
      <c r="L146" s="4">
        <v>0</v>
      </c>
      <c r="M146" s="4">
        <v>0</v>
      </c>
      <c r="N146" s="4">
        <v>0</v>
      </c>
      <c r="O146" s="4">
        <v>0</v>
      </c>
      <c r="P146" s="4">
        <v>0</v>
      </c>
    </row>
    <row r="147" spans="1:16" ht="19.5" customHeight="1" x14ac:dyDescent="0.15">
      <c r="A147" s="2" t="s">
        <v>468</v>
      </c>
      <c r="B147" s="3" t="s">
        <v>119</v>
      </c>
      <c r="C147" s="11">
        <v>5</v>
      </c>
      <c r="D147" s="3" t="s">
        <v>469</v>
      </c>
      <c r="E147" s="3" t="s">
        <v>470</v>
      </c>
      <c r="F147" s="4">
        <v>0</v>
      </c>
      <c r="G147" s="4"/>
      <c r="H147" s="4">
        <v>0</v>
      </c>
      <c r="I147" s="4">
        <v>0</v>
      </c>
      <c r="J147" s="4">
        <v>0</v>
      </c>
      <c r="K147" s="4">
        <v>0</v>
      </c>
      <c r="L147" s="4">
        <v>0</v>
      </c>
      <c r="M147" s="4">
        <v>0</v>
      </c>
      <c r="N147" s="4">
        <v>0</v>
      </c>
      <c r="O147" s="4">
        <v>0</v>
      </c>
      <c r="P147" s="4">
        <v>0</v>
      </c>
    </row>
    <row r="148" spans="1:16" ht="19.5" customHeight="1" x14ac:dyDescent="0.15">
      <c r="A148" s="2" t="s">
        <v>471</v>
      </c>
      <c r="B148" s="3" t="s">
        <v>119</v>
      </c>
      <c r="C148" s="11">
        <v>5</v>
      </c>
      <c r="D148" s="3" t="s">
        <v>472</v>
      </c>
      <c r="E148" s="3" t="s">
        <v>473</v>
      </c>
      <c r="F148" s="4">
        <v>0</v>
      </c>
      <c r="G148" s="4"/>
      <c r="H148" s="4">
        <v>0</v>
      </c>
      <c r="I148" s="4">
        <v>0</v>
      </c>
      <c r="J148" s="4">
        <v>0</v>
      </c>
      <c r="K148" s="4">
        <v>0</v>
      </c>
      <c r="L148" s="4">
        <v>0</v>
      </c>
      <c r="M148" s="4">
        <v>0</v>
      </c>
      <c r="N148" s="4">
        <v>0</v>
      </c>
      <c r="O148" s="4">
        <v>0</v>
      </c>
      <c r="P148" s="4">
        <v>0</v>
      </c>
    </row>
    <row r="149" spans="1:16" ht="19.5" customHeight="1" x14ac:dyDescent="0.15">
      <c r="A149" s="2" t="s">
        <v>474</v>
      </c>
      <c r="B149" s="3" t="s">
        <v>41</v>
      </c>
      <c r="C149" s="11">
        <v>1</v>
      </c>
      <c r="D149" s="3" t="s">
        <v>475</v>
      </c>
      <c r="E149" s="3" t="s">
        <v>476</v>
      </c>
      <c r="F149" s="4">
        <v>1</v>
      </c>
      <c r="G149" s="4"/>
      <c r="H149" s="4">
        <v>0</v>
      </c>
      <c r="I149" s="4">
        <v>0</v>
      </c>
      <c r="J149" s="4">
        <v>0</v>
      </c>
      <c r="K149" s="4">
        <v>0</v>
      </c>
      <c r="L149" s="4">
        <v>0</v>
      </c>
      <c r="M149" s="4">
        <v>0</v>
      </c>
      <c r="N149" s="4">
        <v>0</v>
      </c>
      <c r="O149" s="4">
        <v>0</v>
      </c>
      <c r="P149" s="4">
        <v>0</v>
      </c>
    </row>
    <row r="150" spans="1:16" ht="19.5" customHeight="1" x14ac:dyDescent="0.15">
      <c r="A150" s="2" t="s">
        <v>477</v>
      </c>
      <c r="B150" s="3" t="s">
        <v>26</v>
      </c>
      <c r="C150" s="11">
        <v>5</v>
      </c>
      <c r="D150" s="3" t="s">
        <v>478</v>
      </c>
      <c r="E150" s="3" t="s">
        <v>479</v>
      </c>
      <c r="F150" s="4">
        <v>0</v>
      </c>
      <c r="G150" s="4"/>
      <c r="H150" s="4">
        <v>0</v>
      </c>
      <c r="I150" s="4">
        <v>0</v>
      </c>
      <c r="J150" s="4">
        <v>0</v>
      </c>
      <c r="K150" s="4">
        <v>0</v>
      </c>
      <c r="L150" s="4">
        <v>0</v>
      </c>
      <c r="M150" s="4">
        <v>0</v>
      </c>
      <c r="N150" s="4">
        <v>0</v>
      </c>
      <c r="O150" s="4">
        <v>0</v>
      </c>
      <c r="P150" s="4">
        <v>0</v>
      </c>
    </row>
    <row r="151" spans="1:16" ht="19.5" customHeight="1" x14ac:dyDescent="0.15">
      <c r="A151" s="2" t="s">
        <v>480</v>
      </c>
      <c r="B151" s="3" t="s">
        <v>14</v>
      </c>
      <c r="C151" s="11">
        <v>5</v>
      </c>
      <c r="D151" s="3" t="s">
        <v>481</v>
      </c>
      <c r="E151" s="3" t="s">
        <v>482</v>
      </c>
      <c r="F151" s="4">
        <v>0</v>
      </c>
      <c r="G151" s="4"/>
      <c r="H151" s="4">
        <v>0</v>
      </c>
      <c r="I151" s="4">
        <v>0</v>
      </c>
      <c r="J151" s="4">
        <v>0</v>
      </c>
      <c r="K151" s="4">
        <v>0</v>
      </c>
      <c r="L151" s="4">
        <v>0</v>
      </c>
      <c r="M151" s="4">
        <v>0</v>
      </c>
      <c r="N151" s="4">
        <v>0</v>
      </c>
      <c r="O151" s="4">
        <v>0</v>
      </c>
      <c r="P151" s="4">
        <v>0</v>
      </c>
    </row>
  </sheetData>
  <autoFilter ref="A2:P151" xr:uid="{00000000-0001-0000-0000-000000000000}"/>
  <pageMargins left="1" right="1" top="1" bottom="1" header="0.511811023622047" footer="0.25"/>
  <pageSetup orientation="portrait" horizontalDpi="300" verticalDpi="300"/>
  <headerFooter>
    <oddFooter>&amp;C&amp;12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tabSelected="1" zoomScale="150" zoomScaleNormal="100" workbookViewId="0">
      <selection activeCell="A8" sqref="A8"/>
    </sheetView>
  </sheetViews>
  <sheetFormatPr baseColWidth="10" defaultColWidth="8.6640625" defaultRowHeight="13" x14ac:dyDescent="0.15"/>
  <cols>
    <col min="1" max="1" width="26" style="6" customWidth="1"/>
    <col min="2" max="2" width="17" style="6" customWidth="1"/>
    <col min="3" max="3" width="13" style="6" customWidth="1"/>
    <col min="4" max="4" width="20" style="6" customWidth="1"/>
    <col min="5" max="5" width="15" style="6" customWidth="1"/>
  </cols>
  <sheetData>
    <row r="1" spans="1:5" ht="17" x14ac:dyDescent="0.2">
      <c r="A1" s="7" t="s">
        <v>483</v>
      </c>
    </row>
    <row r="3" spans="1:5" x14ac:dyDescent="0.15">
      <c r="A3" s="8" t="s">
        <v>484</v>
      </c>
      <c r="B3" s="6">
        <f>COUNTA(разметка!A3:A151)</f>
        <v>149</v>
      </c>
    </row>
    <row r="4" spans="1:5" x14ac:dyDescent="0.15">
      <c r="A4" s="8" t="s">
        <v>485</v>
      </c>
      <c r="B4" s="6">
        <f>COUNTIF(разметка!C3:C151,"&lt;=3")</f>
        <v>54</v>
      </c>
    </row>
    <row r="6" spans="1:5" ht="30" x14ac:dyDescent="0.15">
      <c r="A6" s="15" t="s">
        <v>486</v>
      </c>
      <c r="B6" s="15" t="s">
        <v>487</v>
      </c>
      <c r="C6" s="15" t="s">
        <v>488</v>
      </c>
      <c r="D6" s="15" t="s">
        <v>489</v>
      </c>
      <c r="E6" s="15" t="s">
        <v>490</v>
      </c>
    </row>
    <row r="7" spans="1:5" x14ac:dyDescent="0.15">
      <c r="A7" s="16"/>
      <c r="B7" s="16"/>
      <c r="C7" s="17"/>
      <c r="D7" s="16"/>
      <c r="E7" s="17"/>
    </row>
    <row r="8" spans="1:5" x14ac:dyDescent="0.15">
      <c r="A8" s="8" t="s">
        <v>495</v>
      </c>
      <c r="B8" s="8">
        <f>SUM(разметка!F3:F151)</f>
        <v>25</v>
      </c>
      <c r="C8" s="9">
        <f>IFERROR(B7/$B$3,0)</f>
        <v>0</v>
      </c>
      <c r="D8" s="8" cm="1">
        <f t="array" ref="D8">SUMPRODUCT(--(VALUE(разметка!C3:C153)&lt;=3),разметка!F3:F153)</f>
        <v>24</v>
      </c>
      <c r="E8" s="9">
        <f>IFERROR(D7/$B$4,0)</f>
        <v>0</v>
      </c>
    </row>
    <row r="9" spans="1:5" x14ac:dyDescent="0.15">
      <c r="A9" s="8" t="s">
        <v>5</v>
      </c>
      <c r="B9" s="8">
        <f>SUM(разметка!H3:H151)</f>
        <v>4</v>
      </c>
      <c r="C9" s="9">
        <f t="shared" ref="C9:C17" si="0">IFERROR(B9/$B$3,0)</f>
        <v>2.6845637583892617E-2</v>
      </c>
      <c r="D9" s="8">
        <f>SUMPRODUCT(--(VALUE(разметка!C3:C151)&lt;=3),разметка!H3:H151)</f>
        <v>4</v>
      </c>
      <c r="E9" s="9">
        <f t="shared" ref="E9:E17" si="1">IFERROR(D9/$B$4,0)</f>
        <v>7.407407407407407E-2</v>
      </c>
    </row>
    <row r="10" spans="1:5" x14ac:dyDescent="0.15">
      <c r="A10" s="8" t="s">
        <v>6</v>
      </c>
      <c r="B10" s="8">
        <f>SUM(разметка!I3:I151)</f>
        <v>18</v>
      </c>
      <c r="C10" s="9">
        <f t="shared" si="0"/>
        <v>0.12080536912751678</v>
      </c>
      <c r="D10" s="8">
        <f>SUMPRODUCT(--(VALUE(разметка!C3:C151)&lt;=3),разметка!I3:I151)</f>
        <v>16</v>
      </c>
      <c r="E10" s="9">
        <f t="shared" si="1"/>
        <v>0.29629629629629628</v>
      </c>
    </row>
    <row r="11" spans="1:5" x14ac:dyDescent="0.15">
      <c r="A11" s="8" t="s">
        <v>7</v>
      </c>
      <c r="B11" s="8">
        <f>SUM(разметка!J3:J151)</f>
        <v>8</v>
      </c>
      <c r="C11" s="9">
        <f t="shared" si="0"/>
        <v>5.3691275167785234E-2</v>
      </c>
      <c r="D11" s="8">
        <f>SUMPRODUCT(--(VALUE(разметка!C3:C151)&lt;=3),разметка!J3:J151)</f>
        <v>8</v>
      </c>
      <c r="E11" s="9">
        <f t="shared" si="1"/>
        <v>0.14814814814814814</v>
      </c>
    </row>
    <row r="12" spans="1:5" x14ac:dyDescent="0.15">
      <c r="A12" s="8" t="s">
        <v>8</v>
      </c>
      <c r="B12" s="8">
        <f>SUM(разметка!K3:K151)</f>
        <v>12</v>
      </c>
      <c r="C12" s="9">
        <f t="shared" si="0"/>
        <v>8.0536912751677847E-2</v>
      </c>
      <c r="D12" s="8">
        <f>SUMPRODUCT(--(VALUE(разметка!C3:C151)&lt;=3),разметка!K3:K151)</f>
        <v>10</v>
      </c>
      <c r="E12" s="9">
        <f t="shared" si="1"/>
        <v>0.18518518518518517</v>
      </c>
    </row>
    <row r="13" spans="1:5" x14ac:dyDescent="0.15">
      <c r="A13" s="8" t="s">
        <v>9</v>
      </c>
      <c r="B13" s="8">
        <f>SUM(разметка!L3:L151)</f>
        <v>15</v>
      </c>
      <c r="C13" s="9">
        <f t="shared" si="0"/>
        <v>0.10067114093959731</v>
      </c>
      <c r="D13" s="8">
        <f>SUMPRODUCT(--(VALUE(разметка!C3:C151)&lt;=3),разметка!L3:L151)</f>
        <v>13</v>
      </c>
      <c r="E13" s="9">
        <f t="shared" si="1"/>
        <v>0.24074074074074073</v>
      </c>
    </row>
    <row r="14" spans="1:5" x14ac:dyDescent="0.15">
      <c r="A14" s="8" t="s">
        <v>494</v>
      </c>
      <c r="B14" s="8">
        <f>SUM(разметка!M3:M151)</f>
        <v>5</v>
      </c>
      <c r="C14" s="9">
        <f t="shared" si="0"/>
        <v>3.3557046979865772E-2</v>
      </c>
      <c r="D14" s="8">
        <f>SUMPRODUCT(--(VALUE(разметка!C3:C151)&lt;=3),разметка!M3:M151)</f>
        <v>4</v>
      </c>
      <c r="E14" s="9">
        <f t="shared" si="1"/>
        <v>7.407407407407407E-2</v>
      </c>
    </row>
    <row r="15" spans="1:5" x14ac:dyDescent="0.15">
      <c r="A15" s="8" t="s">
        <v>10</v>
      </c>
      <c r="B15" s="8">
        <f>SUM(разметка!N3:N151)</f>
        <v>1</v>
      </c>
      <c r="C15" s="9">
        <f t="shared" si="0"/>
        <v>6.7114093959731542E-3</v>
      </c>
      <c r="D15" s="8">
        <f>SUMPRODUCT(--(VALUE(разметка!C3:C151)&lt;=3),разметка!N3:N151)</f>
        <v>1</v>
      </c>
      <c r="E15" s="9">
        <f t="shared" si="1"/>
        <v>1.8518518518518517E-2</v>
      </c>
    </row>
    <row r="16" spans="1:5" x14ac:dyDescent="0.15">
      <c r="A16" s="8" t="s">
        <v>12</v>
      </c>
      <c r="B16" s="8">
        <f>SUM(разметка!P3:P151)</f>
        <v>4</v>
      </c>
      <c r="C16" s="9">
        <f t="shared" si="0"/>
        <v>2.6845637583892617E-2</v>
      </c>
      <c r="D16" s="8">
        <f>SUMPRODUCT(--(VALUE(разметка!C3:C151)&lt;=3),разметка!P3:P151)</f>
        <v>4</v>
      </c>
      <c r="E16" s="9">
        <f t="shared" si="1"/>
        <v>7.407407407407407E-2</v>
      </c>
    </row>
    <row r="17" spans="1:5" x14ac:dyDescent="0.15">
      <c r="A17" s="8" t="s">
        <v>11</v>
      </c>
      <c r="B17" s="8">
        <f>SUM(разметка!O3:O151)</f>
        <v>7</v>
      </c>
      <c r="C17" s="9">
        <f t="shared" si="0"/>
        <v>4.6979865771812082E-2</v>
      </c>
      <c r="D17" s="8">
        <f>SUMPRODUCT(--(VALUE(разметка!C3:C151)&lt;=3),разметка!O3:O151)</f>
        <v>5</v>
      </c>
      <c r="E17" s="9">
        <f t="shared" si="1"/>
        <v>9.2592592592592587E-2</v>
      </c>
    </row>
    <row r="19" spans="1:5" x14ac:dyDescent="0.15">
      <c r="A19" s="8" t="s">
        <v>491</v>
      </c>
      <c r="B19" s="8" cm="1">
        <f t="array" ref="B19">SUMPRODUCT(--((разметка!F3:F151+разметка!G3:G151+разметка!H3:H151+разметка!I3:I151+разметка!J3:J151+разметка!K3:K151+разметка!L3:L151+разметка!M3:M151+разметка!N3:N151+разметка!P3:P151+разметка!O3:O151)=0))</f>
        <v>91</v>
      </c>
    </row>
    <row r="20" spans="1:5" x14ac:dyDescent="0.15">
      <c r="A20" s="8" t="s">
        <v>492</v>
      </c>
      <c r="B20" s="10">
        <f>IFERROR(SUM(B7:B17)/B3,0)</f>
        <v>0.66442953020134232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разметка</vt:lpstr>
      <vt:lpstr>частоты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Наталья Акатьева</cp:lastModifiedBy>
  <cp:revision>0</cp:revision>
  <dcterms:created xsi:type="dcterms:W3CDTF">2026-09-08T22:59:45Z</dcterms:created>
  <dcterms:modified xsi:type="dcterms:W3CDTF">2026-09-10T09:43:20Z</dcterms:modified>
  <dc:language>en-US</dc:language>
</cp:coreProperties>
</file>